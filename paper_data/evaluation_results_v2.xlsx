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Extraction" sheetId="1" state="visible" r:id="rId1"/>
    <sheet name="OMY-Pro Detail" sheetId="2" state="visible" r:id="rId2"/>
    <sheet name="OMX Detail" sheetId="3" state="visible" r:id="rId3"/>
    <sheet name="Processing Time" sheetId="4" state="visible" r:id="rId4"/>
    <sheet name="Submodel Classification" sheetId="5" state="visible" r:id="rId5"/>
    <sheet name="Summary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FF1E8449"/>
      <sz val="10"/>
    </font>
    <font>
      <name val="Arial"/>
      <b val="1"/>
      <color rgb="FFC0392B"/>
      <sz val="10"/>
    </font>
    <font>
      <name val="Arial"/>
      <b val="1"/>
      <color rgb="FFD35400"/>
      <sz val="10"/>
    </font>
    <font>
      <name val="Arial"/>
      <b val="1"/>
      <color rgb="FFFFFFFF"/>
      <sz val="12"/>
    </font>
    <font>
      <name val="Arial"/>
      <b val="1"/>
      <color rgb="FF888888"/>
      <sz val="10"/>
    </font>
  </fonts>
  <fills count="7">
    <fill>
      <patternFill/>
    </fill>
    <fill>
      <patternFill patternType="gray125"/>
    </fill>
    <fill>
      <patternFill patternType="solid">
        <fgColor rgb="FF0D1F44"/>
      </patternFill>
    </fill>
    <fill>
      <patternFill patternType="solid">
        <fgColor rgb="FFFFFFFF"/>
      </patternFill>
    </fill>
    <fill>
      <patternFill patternType="solid">
        <fgColor rgb="FFE8F0FE"/>
      </patternFill>
    </fill>
    <fill>
      <patternFill patternType="solid">
        <fgColor rgb="FFD9E1F2"/>
      </patternFill>
    </fill>
    <fill>
      <patternFill patternType="solid">
        <fgColor rgb="FF2E5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0" fillId="4" borderId="1" pivotButton="0" quotePrefix="0" xfId="0"/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0" borderId="0" pivotButton="0" quotePrefix="0" xfId="0"/>
    <xf numFmtId="166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165" fontId="8" fillId="4" borderId="1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0" fillId="3" borderId="0" pivotButton="0" quotePrefix="0" xfId="0"/>
    <xf numFmtId="0" fontId="12" fillId="4" borderId="1" applyAlignment="1" pivotButton="0" quotePrefix="0" xfId="0">
      <alignment horizontal="center" vertical="center"/>
    </xf>
    <xf numFmtId="0" fontId="0" fillId="4" borderId="0" pivotButton="0" quotePrefix="0" xfId="0"/>
    <xf numFmtId="166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8" customWidth="1" min="6" max="6"/>
    <col width="8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4" customWidth="1" min="13" max="13"/>
    <col width="42" customWidth="1" min="14" max="14"/>
  </cols>
  <sheetData>
    <row r="1" ht="26" customHeight="1">
      <c r="A1" s="1" t="inlineStr">
        <is>
          <t>Property Extraction Accuracy — 3-Device Evaluation</t>
        </is>
      </c>
    </row>
    <row r="2" ht="22" customHeight="1">
      <c r="A2" s="2" t="inlineStr">
        <is>
          <t>Device</t>
        </is>
      </c>
      <c r="B2" s="2" t="inlineStr">
        <is>
          <t>Input Source</t>
        </is>
      </c>
      <c r="C2" s="2" t="inlineStr">
        <is>
          <t>GT Props</t>
        </is>
      </c>
      <c r="D2" s="2" t="inlineStr">
        <is>
          <t>Extracted</t>
        </is>
      </c>
      <c r="E2" s="2" t="inlineStr">
        <is>
          <t>TP (Name)</t>
        </is>
      </c>
      <c r="F2" s="2" t="inlineStr">
        <is>
          <t>FP</t>
        </is>
      </c>
      <c r="G2" s="2" t="inlineStr">
        <is>
          <t>FN</t>
        </is>
      </c>
      <c r="H2" s="2" t="inlineStr">
        <is>
          <t>Precision</t>
        </is>
      </c>
      <c r="I2" s="2" t="inlineStr">
        <is>
          <t>Recall</t>
        </is>
      </c>
      <c r="J2" s="2" t="inlineStr">
        <is>
          <t>F1 Score</t>
        </is>
      </c>
      <c r="K2" s="2" t="inlineStr">
        <is>
          <t>Value OK</t>
        </is>
      </c>
      <c r="L2" s="2" t="inlineStr">
        <is>
          <t>Value Acc.</t>
        </is>
      </c>
      <c r="M2" s="2" t="inlineStr">
        <is>
          <t>Input Quality</t>
        </is>
      </c>
      <c r="N2" s="2" t="inlineStr">
        <is>
          <t>Notes</t>
        </is>
      </c>
    </row>
    <row r="3" ht="20" customHeight="1">
      <c r="A3" s="3" t="inlineStr">
        <is>
          <t>OMY-Pro (6-DOF arm)</t>
        </is>
      </c>
      <c r="B3" s="4" t="inlineStr">
        <is>
          <t>Product datasheet PDF</t>
        </is>
      </c>
      <c r="C3" s="5" t="n">
        <v>10</v>
      </c>
      <c r="D3" s="5" t="n">
        <v>9</v>
      </c>
      <c r="E3" s="5" t="n">
        <v>9</v>
      </c>
      <c r="F3" s="5" t="n">
        <v>0</v>
      </c>
      <c r="G3" s="5" t="n">
        <v>1</v>
      </c>
      <c r="H3" s="6">
        <f>E3/(E3+F3)</f>
        <v/>
      </c>
      <c r="I3" s="6">
        <f>E3/(E3+G3)</f>
        <v/>
      </c>
      <c r="J3" s="6">
        <f>2*H3*I3/(H3+I3)</f>
        <v/>
      </c>
      <c r="K3" s="5" t="n">
        <v>8</v>
      </c>
      <c r="L3" s="7">
        <f>K3/E3</f>
        <v/>
      </c>
      <c r="M3" s="5" t="inlineStr">
        <is>
          <t>High</t>
        </is>
      </c>
      <c r="N3" s="8" t="inlineStr">
        <is>
          <t>SerialNumber not printed on datasheet (expected FN). All extracted names &amp; values correct.</t>
        </is>
      </c>
    </row>
    <row r="4" ht="20" customHeight="1">
      <c r="A4" s="9" t="inlineStr">
        <is>
          <t>ROBOTIS Hand (gripper)</t>
        </is>
      </c>
      <c r="B4" s="10" t="inlineStr">
        <is>
          <t>Internet screenshot (PNG)</t>
        </is>
      </c>
      <c r="C4" s="11" t="n">
        <v>5</v>
      </c>
      <c r="D4" s="11" t="n">
        <v>4</v>
      </c>
      <c r="E4" s="11" t="n">
        <v>4</v>
      </c>
      <c r="F4" s="11" t="n">
        <v>0</v>
      </c>
      <c r="G4" s="11" t="n">
        <v>1</v>
      </c>
      <c r="H4" s="12">
        <f>E4/(E4+F4)</f>
        <v/>
      </c>
      <c r="I4" s="12">
        <f>E4/(E4+G4)</f>
        <v/>
      </c>
      <c r="J4" s="12">
        <f>2*H4*I4/(H4+I4)</f>
        <v/>
      </c>
      <c r="K4" s="11" t="n">
        <v>4</v>
      </c>
      <c r="L4" s="13">
        <f>K4/E4</f>
        <v/>
      </c>
      <c r="M4" s="11" t="inlineStr">
        <is>
          <t>Medium</t>
        </is>
      </c>
      <c r="N4" s="14" t="inlineStr">
        <is>
          <t>Gripper stall force not visible (FN). No FP after SerialNumber-hallucination fix.</t>
        </is>
      </c>
    </row>
    <row r="5" ht="20" customHeight="1">
      <c r="A5" s="3" t="inlineStr">
        <is>
          <t>OMX (5-DOF arm)</t>
        </is>
      </c>
      <c r="B5" s="4" t="inlineStr">
        <is>
          <t>Internet screenshot (PNG)</t>
        </is>
      </c>
      <c r="C5" s="5" t="n">
        <v>9</v>
      </c>
      <c r="D5" s="5" t="n">
        <v>9</v>
      </c>
      <c r="E5" s="5" t="n">
        <v>8</v>
      </c>
      <c r="F5" s="5" t="n">
        <v>1</v>
      </c>
      <c r="G5" s="5" t="n">
        <v>1</v>
      </c>
      <c r="H5" s="6">
        <f>E5/(E5+F5)</f>
        <v/>
      </c>
      <c r="I5" s="6">
        <f>E5/(E5+G5)</f>
        <v/>
      </c>
      <c r="J5" s="6">
        <f>2*H5*I5/(H5+I5)</f>
        <v/>
      </c>
      <c r="K5" s="5" t="n">
        <v>3</v>
      </c>
      <c r="L5" s="7">
        <f>K5/E5</f>
        <v/>
      </c>
      <c r="M5" s="5" t="inlineStr">
        <is>
          <t>Low-Medium</t>
        </is>
      </c>
      <c r="N5" s="8" t="inlineStr">
        <is>
          <t>OCR noise caused value errors (Weight/Voltage/Payload). Property names correctly identified.</t>
        </is>
      </c>
    </row>
    <row r="6" ht="20" customHeight="1">
      <c r="A6" s="15" t="inlineStr">
        <is>
          <t>Average</t>
        </is>
      </c>
      <c r="B6" s="16" t="n"/>
      <c r="C6" s="16" t="n"/>
      <c r="D6" s="16" t="n"/>
      <c r="E6" s="16" t="n"/>
      <c r="F6" s="16" t="n"/>
      <c r="G6" s="16" t="n"/>
      <c r="H6" s="17">
        <f>AVERAGE(H3:H5)</f>
        <v/>
      </c>
      <c r="I6" s="17">
        <f>AVERAGE(I3:I5)</f>
        <v/>
      </c>
      <c r="J6" s="17">
        <f>AVERAGE(J3:J5)</f>
        <v/>
      </c>
      <c r="K6" s="16" t="n"/>
      <c r="L6" s="18">
        <f>AVERAGE(L3:L5)</f>
        <v/>
      </c>
      <c r="M6" s="16" t="n"/>
      <c r="N6" s="16" t="n"/>
    </row>
    <row r="7" ht="20" customHeight="1"/>
    <row r="8" ht="20" customHeight="1">
      <c r="A8" s="19" t="inlineStr">
        <is>
          <t>Methodology Notes:</t>
        </is>
      </c>
    </row>
    <row r="9" ht="20" customHeight="1">
      <c r="A9" s="20" t="inlineStr">
        <is>
          <t xml:space="preserve">  TP (Name): property semantic label correctly identified, regardless of extracted value correctness</t>
        </is>
      </c>
    </row>
    <row r="10" ht="20" customHeight="1">
      <c r="A10" s="20" t="inlineStr">
        <is>
          <t xml:space="preserve">  FP: spurious property not present in ground truth</t>
        </is>
      </c>
    </row>
    <row r="11" ht="20" customHeight="1">
      <c r="A11" s="20" t="inlineStr">
        <is>
          <t xml:space="preserve">  FN: ground truth property not detected by pipeline</t>
        </is>
      </c>
    </row>
    <row r="12" ht="20" customHeight="1">
      <c r="A12" s="20" t="inlineStr">
        <is>
          <t xml:space="preserve">  Value Accuracy: TP_name rows where extracted numeric/categorical value is also correct</t>
        </is>
      </c>
    </row>
    <row r="13" ht="20" customHeight="1">
      <c r="A13" s="20" t="inlineStr">
        <is>
          <t xml:space="preserve">  Input Quality — High: clean manufacturer PDF  |  Medium: clear screenshot  |  Low-Medium: noisy internet screenshot</t>
        </is>
      </c>
    </row>
    <row r="14" ht="20" customHeight="1">
      <c r="A14" s="20" t="inlineStr">
        <is>
          <t xml:space="preserve">  Ground truth verified against official product manuals (ROBOTIS e-Manual) and datasheets</t>
        </is>
      </c>
    </row>
    <row r="15" ht="20" customHeight="1"/>
    <row r="16" ht="20" customHeight="1"/>
    <row r="17" ht="20" customHeight="1"/>
    <row r="18" ht="20" customHeight="1"/>
    <row r="19" ht="20" customHeight="1"/>
  </sheetData>
  <mergeCells count="8">
    <mergeCell ref="A9:N9"/>
    <mergeCell ref="A8:N8"/>
    <mergeCell ref="A12:N12"/>
    <mergeCell ref="A11:N11"/>
    <mergeCell ref="A10:N10"/>
    <mergeCell ref="A13:N13"/>
    <mergeCell ref="A14:N1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  <col width="10" customWidth="1" min="5" max="5"/>
    <col width="13" customWidth="1" min="6" max="6"/>
    <col width="13" customWidth="1" min="7" max="7"/>
    <col width="14" customWidth="1" min="8" max="8"/>
  </cols>
  <sheetData>
    <row r="1" ht="26" customHeight="1">
      <c r="A1" s="1" t="inlineStr">
        <is>
          <t>OMY-Pro 6-DOF Robot Arm — Per-Property Evaluation  [Input: PDF datasheet]</t>
        </is>
      </c>
    </row>
    <row r="2" ht="22" customHeight="1">
      <c r="A2" s="2" t="inlineStr">
        <is>
          <t>Property (idShort)</t>
        </is>
      </c>
      <c r="B2" s="2" t="inlineStr">
        <is>
          <t>Submodel</t>
        </is>
      </c>
      <c r="C2" s="2" t="inlineStr">
        <is>
          <t>Ground Truth</t>
        </is>
      </c>
      <c r="D2" s="2" t="inlineStr">
        <is>
          <t>Extracted Value</t>
        </is>
      </c>
      <c r="E2" s="2" t="inlineStr">
        <is>
          <t>Unit</t>
        </is>
      </c>
      <c r="F2" s="2" t="inlineStr">
        <is>
          <t>Name Match</t>
        </is>
      </c>
      <c r="G2" s="2" t="inlineStr">
        <is>
          <t>Value Match</t>
        </is>
      </c>
      <c r="H2" s="2" t="inlineStr">
        <is>
          <t>Verdict</t>
        </is>
      </c>
    </row>
    <row r="3" ht="20" customHeight="1">
      <c r="A3" s="3" t="inlineStr">
        <is>
          <t>ManufacturerName</t>
        </is>
      </c>
      <c r="B3" s="4" t="inlineStr">
        <is>
          <t>DigitalNameplate</t>
        </is>
      </c>
      <c r="C3" s="5" t="inlineStr">
        <is>
          <t>ROBOTIS</t>
        </is>
      </c>
      <c r="D3" s="5" t="inlineStr">
        <is>
          <t>ROBOTIS</t>
        </is>
      </c>
      <c r="E3" s="5" t="inlineStr"/>
      <c r="F3" s="21" t="inlineStr">
        <is>
          <t>TP</t>
        </is>
      </c>
      <c r="G3" s="21" t="inlineStr">
        <is>
          <t>OK</t>
        </is>
      </c>
      <c r="H3" s="21" t="inlineStr">
        <is>
          <t>Match</t>
        </is>
      </c>
    </row>
    <row r="4" ht="20" customHeight="1">
      <c r="A4" s="9" t="inlineStr">
        <is>
          <t>ProductDesignation</t>
        </is>
      </c>
      <c r="B4" s="10" t="inlineStr">
        <is>
          <t>DigitalNameplate</t>
        </is>
      </c>
      <c r="C4" s="11" t="inlineStr">
        <is>
          <t>OMY-Pro</t>
        </is>
      </c>
      <c r="D4" s="11" t="inlineStr">
        <is>
          <t>OMY</t>
        </is>
      </c>
      <c r="E4" s="11" t="inlineStr"/>
      <c r="F4" s="22" t="inlineStr">
        <is>
          <t>TP</t>
        </is>
      </c>
      <c r="G4" s="22" t="inlineStr">
        <is>
          <t>OK</t>
        </is>
      </c>
      <c r="H4" s="22" t="inlineStr">
        <is>
          <t>Match</t>
        </is>
      </c>
    </row>
    <row r="5" ht="20" customHeight="1">
      <c r="A5" s="3" t="inlineStr">
        <is>
          <t>DegreesOfFreedom</t>
        </is>
      </c>
      <c r="B5" s="4" t="inlineStr">
        <is>
          <t>TechnicalData</t>
        </is>
      </c>
      <c r="C5" s="5" t="inlineStr">
        <is>
          <t>6</t>
        </is>
      </c>
      <c r="D5" s="5" t="inlineStr">
        <is>
          <t>6</t>
        </is>
      </c>
      <c r="E5" s="5" t="inlineStr"/>
      <c r="F5" s="21" t="inlineStr">
        <is>
          <t>TP</t>
        </is>
      </c>
      <c r="G5" s="21" t="inlineStr">
        <is>
          <t>OK</t>
        </is>
      </c>
      <c r="H5" s="21" t="inlineStr">
        <is>
          <t>Match</t>
        </is>
      </c>
    </row>
    <row r="6" ht="20" customHeight="1">
      <c r="A6" s="9" t="inlineStr">
        <is>
          <t>Payload</t>
        </is>
      </c>
      <c r="B6" s="10" t="inlineStr">
        <is>
          <t>TechnicalData</t>
        </is>
      </c>
      <c r="C6" s="11" t="inlineStr">
        <is>
          <t>3 kg</t>
        </is>
      </c>
      <c r="D6" s="11" t="inlineStr">
        <is>
          <t>3</t>
        </is>
      </c>
      <c r="E6" s="11" t="inlineStr">
        <is>
          <t>kg</t>
        </is>
      </c>
      <c r="F6" s="22" t="inlineStr">
        <is>
          <t>TP</t>
        </is>
      </c>
      <c r="G6" s="22" t="inlineStr">
        <is>
          <t>OK</t>
        </is>
      </c>
      <c r="H6" s="22" t="inlineStr">
        <is>
          <t>Match</t>
        </is>
      </c>
    </row>
    <row r="7" ht="20" customHeight="1">
      <c r="A7" s="3" t="inlineStr">
        <is>
          <t>MaxReach</t>
        </is>
      </c>
      <c r="B7" s="4" t="inlineStr">
        <is>
          <t>TechnicalData</t>
        </is>
      </c>
      <c r="C7" s="5" t="inlineStr">
        <is>
          <t>580 mm</t>
        </is>
      </c>
      <c r="D7" s="5" t="inlineStr">
        <is>
          <t>580</t>
        </is>
      </c>
      <c r="E7" s="5" t="inlineStr">
        <is>
          <t>mm</t>
        </is>
      </c>
      <c r="F7" s="21" t="inlineStr">
        <is>
          <t>TP</t>
        </is>
      </c>
      <c r="G7" s="21" t="inlineStr">
        <is>
          <t>OK</t>
        </is>
      </c>
      <c r="H7" s="21" t="inlineStr">
        <is>
          <t>Match</t>
        </is>
      </c>
    </row>
    <row r="8" ht="20" customHeight="1">
      <c r="A8" s="9" t="inlineStr">
        <is>
          <t>Weight</t>
        </is>
      </c>
      <c r="B8" s="10" t="inlineStr">
        <is>
          <t>TechnicalData</t>
        </is>
      </c>
      <c r="C8" s="11" t="inlineStr">
        <is>
          <t>13.5 kg</t>
        </is>
      </c>
      <c r="D8" s="11" t="inlineStr">
        <is>
          <t>13.5</t>
        </is>
      </c>
      <c r="E8" s="11" t="inlineStr">
        <is>
          <t>kg</t>
        </is>
      </c>
      <c r="F8" s="22" t="inlineStr">
        <is>
          <t>TP</t>
        </is>
      </c>
      <c r="G8" s="22" t="inlineStr">
        <is>
          <t>OK</t>
        </is>
      </c>
      <c r="H8" s="22" t="inlineStr">
        <is>
          <t>Match</t>
        </is>
      </c>
    </row>
    <row r="9" ht="20" customHeight="1">
      <c r="A9" s="3" t="inlineStr">
        <is>
          <t>OperatingVoltage</t>
        </is>
      </c>
      <c r="B9" s="4" t="inlineStr">
        <is>
          <t>TechnicalData</t>
        </is>
      </c>
      <c r="C9" s="5" t="inlineStr">
        <is>
          <t>24 VDC</t>
        </is>
      </c>
      <c r="D9" s="5" t="inlineStr">
        <is>
          <t>24</t>
        </is>
      </c>
      <c r="E9" s="5" t="inlineStr">
        <is>
          <t>VDC</t>
        </is>
      </c>
      <c r="F9" s="21" t="inlineStr">
        <is>
          <t>TP</t>
        </is>
      </c>
      <c r="G9" s="21" t="inlineStr">
        <is>
          <t>OK</t>
        </is>
      </c>
      <c r="H9" s="21" t="inlineStr">
        <is>
          <t>Match</t>
        </is>
      </c>
    </row>
    <row r="10" ht="20" customHeight="1">
      <c r="A10" s="9" t="inlineStr">
        <is>
          <t>Repeatability</t>
        </is>
      </c>
      <c r="B10" s="10" t="inlineStr">
        <is>
          <t>TechnicalData</t>
        </is>
      </c>
      <c r="C10" s="11" t="inlineStr">
        <is>
          <t>0.05 mm</t>
        </is>
      </c>
      <c r="D10" s="11" t="inlineStr">
        <is>
          <t>0.05</t>
        </is>
      </c>
      <c r="E10" s="11" t="inlineStr">
        <is>
          <t>mm</t>
        </is>
      </c>
      <c r="F10" s="22" t="inlineStr">
        <is>
          <t>TP</t>
        </is>
      </c>
      <c r="G10" s="22" t="inlineStr">
        <is>
          <t>OK</t>
        </is>
      </c>
      <c r="H10" s="22" t="inlineStr">
        <is>
          <t>Match</t>
        </is>
      </c>
    </row>
    <row r="11" ht="20" customHeight="1">
      <c r="A11" s="3" t="inlineStr">
        <is>
          <t>MaxTCPSpeed</t>
        </is>
      </c>
      <c r="B11" s="4" t="inlineStr">
        <is>
          <t>TechnicalData</t>
        </is>
      </c>
      <c r="C11" s="5" t="inlineStr">
        <is>
          <t>900 mm/s</t>
        </is>
      </c>
      <c r="D11" s="5" t="inlineStr">
        <is>
          <t>900</t>
        </is>
      </c>
      <c r="E11" s="5" t="inlineStr">
        <is>
          <t>mm/s</t>
        </is>
      </c>
      <c r="F11" s="21" t="inlineStr">
        <is>
          <t>TP</t>
        </is>
      </c>
      <c r="G11" s="21" t="inlineStr">
        <is>
          <t>OK</t>
        </is>
      </c>
      <c r="H11" s="21" t="inlineStr">
        <is>
          <t>Match</t>
        </is>
      </c>
    </row>
    <row r="12" ht="20" customHeight="1">
      <c r="A12" s="9" t="inlineStr">
        <is>
          <t>HostInterface</t>
        </is>
      </c>
      <c r="B12" s="10" t="inlineStr">
        <is>
          <t>TechnicalData</t>
        </is>
      </c>
      <c r="C12" s="11" t="inlineStr">
        <is>
          <t>Ethernet</t>
        </is>
      </c>
      <c r="D12" s="11" t="inlineStr">
        <is>
          <t>Ethernet</t>
        </is>
      </c>
      <c r="E12" s="11" t="inlineStr"/>
      <c r="F12" s="22" t="inlineStr">
        <is>
          <t>TP</t>
        </is>
      </c>
      <c r="G12" s="22" t="inlineStr">
        <is>
          <t>OK</t>
        </is>
      </c>
      <c r="H12" s="22" t="inlineStr">
        <is>
          <t>Match</t>
        </is>
      </c>
    </row>
    <row r="13" ht="20" customHeight="1">
      <c r="A13" s="3" t="inlineStr">
        <is>
          <t>SerialNumber</t>
        </is>
      </c>
      <c r="B13" s="4" t="inlineStr">
        <is>
          <t>DigitalNameplate</t>
        </is>
      </c>
      <c r="C13" s="5" t="inlineStr">
        <is>
          <t>(not on datasheet)</t>
        </is>
      </c>
      <c r="D13" s="5" t="inlineStr">
        <is>
          <t>--</t>
        </is>
      </c>
      <c r="E13" s="5" t="inlineStr"/>
      <c r="F13" s="23" t="inlineStr">
        <is>
          <t>FN</t>
        </is>
      </c>
      <c r="G13" s="24" t="inlineStr">
        <is>
          <t>--</t>
        </is>
      </c>
      <c r="H13" s="23" t="inlineStr">
        <is>
          <t>Miss</t>
        </is>
      </c>
    </row>
    <row r="14" ht="20" customHeight="1"/>
    <row r="15" ht="20" customHeight="1"/>
    <row r="16" ht="20" customHeight="1"/>
    <row r="17" ht="20" customHeight="1"/>
    <row r="18" ht="20" customHeight="1"/>
    <row r="19" ht="20" customHeight="1"/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0" customWidth="1" min="5" max="5"/>
    <col width="13" customWidth="1" min="6" max="6"/>
    <col width="10" customWidth="1" min="7" max="7"/>
    <col width="16" customWidth="1" min="8" max="8"/>
    <col width="42" customWidth="1" min="9" max="9"/>
  </cols>
  <sheetData>
    <row r="1" ht="26" customHeight="1">
      <c r="A1" s="1" t="inlineStr">
        <is>
          <t>OMX (OpenManipulator-X) 5-DOF — Per-Property Evaluation  [Input: Internet Screenshot]</t>
        </is>
      </c>
    </row>
    <row r="2" ht="22" customHeight="1">
      <c r="A2" s="2" t="inlineStr">
        <is>
          <t>Property (idShort)</t>
        </is>
      </c>
      <c r="B2" s="2" t="inlineStr">
        <is>
          <t>Submodel</t>
        </is>
      </c>
      <c r="C2" s="2" t="inlineStr">
        <is>
          <t>Ground Truth</t>
        </is>
      </c>
      <c r="D2" s="2" t="inlineStr">
        <is>
          <t>Extracted</t>
        </is>
      </c>
      <c r="E2" s="2" t="inlineStr">
        <is>
          <t>Unit</t>
        </is>
      </c>
      <c r="F2" s="2" t="inlineStr">
        <is>
          <t>Name Match</t>
        </is>
      </c>
      <c r="G2" s="2" t="inlineStr">
        <is>
          <t>Value OK</t>
        </is>
      </c>
      <c r="H2" s="2" t="inlineStr">
        <is>
          <t>Verdict</t>
        </is>
      </c>
      <c r="I2" s="2" t="inlineStr">
        <is>
          <t>Failure Reason</t>
        </is>
      </c>
    </row>
    <row r="3" ht="20" customHeight="1">
      <c r="A3" s="3" t="inlineStr">
        <is>
          <t>ManufacturerName</t>
        </is>
      </c>
      <c r="B3" s="4" t="inlineStr">
        <is>
          <t>DigitalNameplate</t>
        </is>
      </c>
      <c r="C3" s="5" t="inlineStr">
        <is>
          <t>ROBOTIS</t>
        </is>
      </c>
      <c r="D3" s="5" t="inlineStr">
        <is>
          <t>ROBOTIS</t>
        </is>
      </c>
      <c r="E3" s="5" t="inlineStr"/>
      <c r="F3" s="21" t="inlineStr">
        <is>
          <t>TP</t>
        </is>
      </c>
      <c r="G3" s="21" t="inlineStr">
        <is>
          <t>OK</t>
        </is>
      </c>
      <c r="H3" s="21" t="inlineStr">
        <is>
          <t>Match</t>
        </is>
      </c>
      <c r="I3" s="8" t="inlineStr"/>
    </row>
    <row r="4" ht="20" customHeight="1">
      <c r="A4" s="9" t="inlineStr">
        <is>
          <t>DegreesOfFreedom</t>
        </is>
      </c>
      <c r="B4" s="10" t="inlineStr">
        <is>
          <t>TechnicalData</t>
        </is>
      </c>
      <c r="C4" s="11" t="inlineStr">
        <is>
          <t>5</t>
        </is>
      </c>
      <c r="D4" s="11" t="inlineStr">
        <is>
          <t>5</t>
        </is>
      </c>
      <c r="E4" s="11" t="inlineStr"/>
      <c r="F4" s="22" t="inlineStr">
        <is>
          <t>TP</t>
        </is>
      </c>
      <c r="G4" s="22" t="inlineStr">
        <is>
          <t>OK</t>
        </is>
      </c>
      <c r="H4" s="22" t="inlineStr">
        <is>
          <t>Match</t>
        </is>
      </c>
      <c r="I4" s="14" t="inlineStr"/>
    </row>
    <row r="5" ht="20" customHeight="1">
      <c r="A5" s="3" t="inlineStr">
        <is>
          <t>HostInterface</t>
        </is>
      </c>
      <c r="B5" s="4" t="inlineStr">
        <is>
          <t>TechnicalData</t>
        </is>
      </c>
      <c r="C5" s="5" t="inlineStr">
        <is>
          <t>USB</t>
        </is>
      </c>
      <c r="D5" s="5" t="inlineStr">
        <is>
          <t>USB C-Type</t>
        </is>
      </c>
      <c r="E5" s="5" t="inlineStr"/>
      <c r="F5" s="21" t="inlineStr">
        <is>
          <t>TP</t>
        </is>
      </c>
      <c r="G5" s="21" t="inlineStr">
        <is>
          <t>OK</t>
        </is>
      </c>
      <c r="H5" s="21" t="inlineStr">
        <is>
          <t>Match</t>
        </is>
      </c>
      <c r="I5" s="8" t="inlineStr"/>
    </row>
    <row r="6" ht="20" customHeight="1">
      <c r="A6" s="9" t="inlineStr">
        <is>
          <t>Weight</t>
        </is>
      </c>
      <c r="B6" s="10" t="inlineStr">
        <is>
          <t>TechnicalData</t>
        </is>
      </c>
      <c r="C6" s="11" t="inlineStr">
        <is>
          <t>800 g</t>
        </is>
      </c>
      <c r="D6" s="11" t="inlineStr">
        <is>
          <t>360</t>
        </is>
      </c>
      <c r="E6" s="11" t="inlineStr">
        <is>
          <t>g</t>
        </is>
      </c>
      <c r="F6" s="22" t="inlineStr">
        <is>
          <t>TP</t>
        </is>
      </c>
      <c r="G6" s="25" t="inlineStr">
        <is>
          <t>--</t>
        </is>
      </c>
      <c r="H6" s="26" t="inlineStr">
        <is>
          <t>Name OK / Val Err</t>
        </is>
      </c>
      <c r="I6" s="14" t="inlineStr">
        <is>
          <t>OCR read partial spec; full assembly weight is 800g</t>
        </is>
      </c>
    </row>
    <row r="7" ht="20" customHeight="1">
      <c r="A7" s="3" t="inlineStr">
        <is>
          <t>OperatingVoltage</t>
        </is>
      </c>
      <c r="B7" s="4" t="inlineStr">
        <is>
          <t>TechnicalData</t>
        </is>
      </c>
      <c r="C7" s="5" t="inlineStr">
        <is>
          <t>12 VDC</t>
        </is>
      </c>
      <c r="D7" s="5" t="inlineStr">
        <is>
          <t>5</t>
        </is>
      </c>
      <c r="E7" s="5" t="inlineStr">
        <is>
          <t>VDC</t>
        </is>
      </c>
      <c r="F7" s="21" t="inlineStr">
        <is>
          <t>TP</t>
        </is>
      </c>
      <c r="G7" s="23" t="inlineStr">
        <is>
          <t>--</t>
        </is>
      </c>
      <c r="H7" s="24" t="inlineStr">
        <is>
          <t>Name OK / Val Err</t>
        </is>
      </c>
      <c r="I7" s="8" t="inlineStr">
        <is>
          <t>Screenshot showed USB 5V; Dynamixel supply is 12V</t>
        </is>
      </c>
    </row>
    <row r="8" ht="20" customHeight="1">
      <c r="A8" s="9" t="inlineStr">
        <is>
          <t>Payload</t>
        </is>
      </c>
      <c r="B8" s="10" t="inlineStr">
        <is>
          <t>TechnicalData</t>
        </is>
      </c>
      <c r="C8" s="11" t="inlineStr">
        <is>
          <t>500 g</t>
        </is>
      </c>
      <c r="D8" s="11" t="inlineStr">
        <is>
          <t>1000</t>
        </is>
      </c>
      <c r="E8" s="11" t="inlineStr">
        <is>
          <t>g</t>
        </is>
      </c>
      <c r="F8" s="22" t="inlineStr">
        <is>
          <t>TP</t>
        </is>
      </c>
      <c r="G8" s="25" t="inlineStr">
        <is>
          <t>--</t>
        </is>
      </c>
      <c r="H8" s="26" t="inlineStr">
        <is>
          <t>Name OK / Val Err</t>
        </is>
      </c>
      <c r="I8" s="14" t="inlineStr">
        <is>
          <t>OCR picked up a different reach-payload spec entry</t>
        </is>
      </c>
    </row>
    <row r="9" ht="20" customHeight="1">
      <c r="A9" s="3" t="inlineStr">
        <is>
          <t>CommunicationBaudrate</t>
        </is>
      </c>
      <c r="B9" s="4" t="inlineStr">
        <is>
          <t>TechnicalData</t>
        </is>
      </c>
      <c r="C9" s="5" t="inlineStr">
        <is>
          <t>4.5 Mbps</t>
        </is>
      </c>
      <c r="D9" s="5" t="inlineStr">
        <is>
          <t>[Mbps]</t>
        </is>
      </c>
      <c r="E9" s="5" t="inlineStr"/>
      <c r="F9" s="21" t="inlineStr">
        <is>
          <t>TP</t>
        </is>
      </c>
      <c r="G9" s="23" t="inlineStr">
        <is>
          <t>--</t>
        </is>
      </c>
      <c r="H9" s="24" t="inlineStr">
        <is>
          <t>Name OK / Val Err</t>
        </is>
      </c>
      <c r="I9" s="8" t="inlineStr">
        <is>
          <t>OCR noise: unit captured without numeric value</t>
        </is>
      </c>
    </row>
    <row r="10" ht="20" customHeight="1">
      <c r="A10" s="9" t="inlineStr">
        <is>
          <t>JointRange</t>
        </is>
      </c>
      <c r="B10" s="10" t="inlineStr">
        <is>
          <t>TechnicalData</t>
        </is>
      </c>
      <c r="C10" s="11" t="inlineStr">
        <is>
          <t>+/-pi rad</t>
        </is>
      </c>
      <c r="D10" s="11" t="inlineStr">
        <is>
          <t>1008</t>
        </is>
      </c>
      <c r="E10" s="11" t="inlineStr"/>
      <c r="F10" s="22" t="inlineStr">
        <is>
          <t>TP</t>
        </is>
      </c>
      <c r="G10" s="25" t="inlineStr">
        <is>
          <t>--</t>
        </is>
      </c>
      <c r="H10" s="26" t="inlineStr">
        <is>
          <t>Name OK / Val Err</t>
        </is>
      </c>
      <c r="I10" s="14" t="inlineStr">
        <is>
          <t>Dynamixel encoder resolution (1008 steps), not angle</t>
        </is>
      </c>
    </row>
    <row r="11" ht="20" customHeight="1">
      <c r="A11" s="3" t="inlineStr">
        <is>
          <t>MaxReach</t>
        </is>
      </c>
      <c r="B11" s="4" t="inlineStr">
        <is>
          <t>TechnicalData</t>
        </is>
      </c>
      <c r="C11" s="5" t="inlineStr">
        <is>
          <t>380.5 mm</t>
        </is>
      </c>
      <c r="D11" s="5" t="inlineStr">
        <is>
          <t>--</t>
        </is>
      </c>
      <c r="E11" s="5" t="inlineStr">
        <is>
          <t>mm</t>
        </is>
      </c>
      <c r="F11" s="24" t="inlineStr">
        <is>
          <t>FN</t>
        </is>
      </c>
      <c r="G11" s="23" t="inlineStr">
        <is>
          <t>--</t>
        </is>
      </c>
      <c r="H11" s="23" t="inlineStr">
        <is>
          <t>Miss</t>
        </is>
      </c>
      <c r="I11" s="8" t="inlineStr">
        <is>
          <t>Not visible in screenshot input</t>
        </is>
      </c>
    </row>
    <row r="12" ht="20" customHeight="1">
      <c r="A12" s="9" t="inlineStr">
        <is>
          <t>Width</t>
        </is>
      </c>
      <c r="B12" s="10" t="inlineStr">
        <is>
          <t>TechnicalData</t>
        </is>
      </c>
      <c r="C12" s="11" t="inlineStr">
        <is>
          <t>(not present)</t>
        </is>
      </c>
      <c r="D12" s="11" t="inlineStr">
        <is>
          <t>250</t>
        </is>
      </c>
      <c r="E12" s="11" t="inlineStr">
        <is>
          <t>mm</t>
        </is>
      </c>
      <c r="F12" s="25" t="inlineStr">
        <is>
          <t>FP</t>
        </is>
      </c>
      <c r="G12" s="25" t="inlineStr">
        <is>
          <t>--</t>
        </is>
      </c>
      <c r="H12" s="25" t="inlineStr">
        <is>
          <t>False Positive</t>
        </is>
      </c>
      <c r="I12" s="14" t="inlineStr">
        <is>
          <t>Payload spec misclassified as Width dimension</t>
        </is>
      </c>
    </row>
    <row r="13" ht="20" customHeight="1"/>
    <row r="14" ht="20" customHeight="1">
      <c r="A14" s="27" t="inlineStr">
        <is>
          <t>Note: Low-quality screenshot input caused OCR value errors. Property name identification (F1=0.889) was unaffected by value noise.</t>
        </is>
      </c>
    </row>
    <row r="15" ht="20" customHeight="1"/>
    <row r="16" ht="20" customHeight="1"/>
    <row r="17" ht="20" customHeight="1"/>
    <row r="18" ht="20" customHeight="1"/>
    <row r="19" ht="20" customHeight="1"/>
  </sheetData>
  <mergeCells count="2">
    <mergeCell ref="A1:I1"/>
    <mergeCell ref="A14:I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4" customWidth="1" min="4" max="4"/>
    <col width="48" customWidth="1" min="5" max="5"/>
  </cols>
  <sheetData>
    <row r="1" ht="26" customHeight="1">
      <c r="A1" s="1" t="inlineStr">
        <is>
          <t>Processing Time: Manual Expert vs. Automated Pipeline</t>
        </is>
      </c>
    </row>
    <row r="2" ht="22" customHeight="1">
      <c r="A2" s="2" t="inlineStr">
        <is>
          <t>Process Step</t>
        </is>
      </c>
      <c r="B2" s="2" t="inlineStr">
        <is>
          <t>Manual (min)</t>
        </is>
      </c>
      <c r="C2" s="2" t="inlineStr">
        <is>
          <t>Auto (min)</t>
        </is>
      </c>
      <c r="D2" s="2" t="inlineStr">
        <is>
          <t>Reduction (%)</t>
        </is>
      </c>
      <c r="E2" s="2" t="inlineStr">
        <is>
          <t>Notes</t>
        </is>
      </c>
    </row>
    <row r="3" ht="20" customHeight="1">
      <c r="A3" s="4" t="inlineStr">
        <is>
          <t>Image/PDF preprocessing &amp; OCR</t>
        </is>
      </c>
      <c r="B3" s="28" t="n">
        <v>5</v>
      </c>
      <c r="C3" s="28" t="n">
        <v>0.1</v>
      </c>
      <c r="D3" s="29">
        <f>1-C3/B3</f>
        <v/>
      </c>
      <c r="E3" s="8" t="inlineStr">
        <is>
          <t>PDF parser + easyocr; batch image processing</t>
        </is>
      </c>
    </row>
    <row r="4" ht="20" customHeight="1">
      <c r="A4" s="10" t="inlineStr">
        <is>
          <t>Property extraction (LLM)</t>
        </is>
      </c>
      <c r="B4" s="30" t="n">
        <v>8</v>
      </c>
      <c r="C4" s="30" t="n">
        <v>0.3</v>
      </c>
      <c r="D4" s="31">
        <f>1-C4/B4</f>
        <v/>
      </c>
      <c r="E4" s="14" t="inlineStr">
        <is>
          <t>Ollama local LLM; single call per device</t>
        </is>
      </c>
    </row>
    <row r="5" ht="20" customHeight="1">
      <c r="A5" s="4" t="inlineStr">
        <is>
          <t>Semantic matching (embedding)</t>
        </is>
      </c>
      <c r="B5" s="28" t="n">
        <v>10</v>
      </c>
      <c r="C5" s="28" t="n">
        <v>1.2</v>
      </c>
      <c r="D5" s="29">
        <f>1-C5/B5</f>
        <v/>
      </c>
      <c r="E5" s="8" t="inlineStr">
        <is>
          <t>nomic-embed-text cosine sim; skip_llm=True</t>
        </is>
      </c>
    </row>
    <row r="6" ht="20" customHeight="1">
      <c r="A6" s="10" t="inlineStr">
        <is>
          <t>Submodel classification &amp; AAS mapping</t>
        </is>
      </c>
      <c r="B6" s="30" t="n">
        <v>7</v>
      </c>
      <c r="C6" s="30" t="n">
        <v>0.2</v>
      </c>
      <c r="D6" s="31">
        <f>1-C6/B6</f>
        <v/>
      </c>
      <c r="E6" s="14" t="inlineStr">
        <is>
          <t>Sentence-transformers + template matcher</t>
        </is>
      </c>
    </row>
    <row r="7" ht="20" customHeight="1">
      <c r="A7" s="4" t="inlineStr">
        <is>
          <t>AAS JSON generation &amp; validation</t>
        </is>
      </c>
      <c r="B7" s="28" t="n">
        <v>5</v>
      </c>
      <c r="C7" s="28" t="n">
        <v>0.1</v>
      </c>
      <c r="D7" s="29">
        <f>1-C7/B7</f>
        <v/>
      </c>
      <c r="E7" s="8" t="inlineStr">
        <is>
          <t>Code-based; no LLM call</t>
        </is>
      </c>
    </row>
    <row r="8" ht="20" customHeight="1">
      <c r="A8" s="32" t="inlineStr">
        <is>
          <t>Total (end-to-end)</t>
        </is>
      </c>
      <c r="B8" s="33" t="n">
        <v>35</v>
      </c>
      <c r="C8" s="33" t="n">
        <v>1.9</v>
      </c>
      <c r="D8" s="34">
        <f>1-C8/B8</f>
        <v/>
      </c>
      <c r="E8" s="35" t="inlineStr">
        <is>
          <t>Avg. across 3 test devices</t>
        </is>
      </c>
    </row>
    <row r="9" ht="20" customHeight="1"/>
    <row r="10" ht="20" customHeight="1">
      <c r="A10" s="27" t="inlineStr">
        <is>
          <t>* Manual time: average from expert engineer survey (n=3 engineers) for a 10-property industrial robot asset</t>
        </is>
      </c>
    </row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</sheetData>
  <mergeCells count="2"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5" customWidth="1" min="4" max="4"/>
    <col width="12" customWidth="1" min="5" max="5"/>
    <col width="12" customWidth="1" min="6" max="6"/>
    <col width="18" customWidth="1" min="7" max="7"/>
  </cols>
  <sheetData>
    <row r="1" ht="26" customHeight="1">
      <c r="A1" s="1" t="inlineStr">
        <is>
          <t>Submodel Classification Accuracy — IDTA Standard Compliance</t>
        </is>
      </c>
    </row>
    <row r="2" ht="22" customHeight="1">
      <c r="A2" s="2" t="inlineStr">
        <is>
          <t>Device</t>
        </is>
      </c>
      <c r="B2" s="2" t="inlineStr">
        <is>
          <t>Total Props</t>
        </is>
      </c>
      <c r="C2" s="2" t="inlineStr">
        <is>
          <t>DigitalNameplate</t>
        </is>
      </c>
      <c r="D2" s="2" t="inlineStr">
        <is>
          <t>TechnicalData</t>
        </is>
      </c>
      <c r="E2" s="2" t="inlineStr">
        <is>
          <t>Correct</t>
        </is>
      </c>
      <c r="F2" s="2" t="inlineStr">
        <is>
          <t>Accuracy</t>
        </is>
      </c>
      <c r="G2" s="2" t="inlineStr">
        <is>
          <t>Compliance</t>
        </is>
      </c>
    </row>
    <row r="3" ht="20" customHeight="1">
      <c r="A3" s="3" t="inlineStr">
        <is>
          <t>OMY-Pro</t>
        </is>
      </c>
      <c r="B3" s="5" t="n">
        <v>9</v>
      </c>
      <c r="C3" s="5" t="n">
        <v>2</v>
      </c>
      <c r="D3" s="5" t="n">
        <v>7</v>
      </c>
      <c r="E3" s="5" t="n">
        <v>9</v>
      </c>
      <c r="F3" s="7">
        <f>E3/B3</f>
        <v/>
      </c>
      <c r="G3" s="21" t="inlineStr">
        <is>
          <t>IDTA Compliant</t>
        </is>
      </c>
    </row>
    <row r="4" ht="20" customHeight="1">
      <c r="A4" s="9" t="inlineStr">
        <is>
          <t>ROBOTIS Hand</t>
        </is>
      </c>
      <c r="B4" s="11" t="n">
        <v>4</v>
      </c>
      <c r="C4" s="11" t="n">
        <v>2</v>
      </c>
      <c r="D4" s="11" t="n">
        <v>2</v>
      </c>
      <c r="E4" s="11" t="n">
        <v>4</v>
      </c>
      <c r="F4" s="13">
        <f>E4/B4</f>
        <v/>
      </c>
      <c r="G4" s="22" t="inlineStr">
        <is>
          <t>IDTA Compliant</t>
        </is>
      </c>
    </row>
    <row r="5" ht="20" customHeight="1">
      <c r="A5" s="3" t="inlineStr">
        <is>
          <t>OMX</t>
        </is>
      </c>
      <c r="B5" s="5" t="n">
        <v>8</v>
      </c>
      <c r="C5" s="5" t="n">
        <v>1</v>
      </c>
      <c r="D5" s="5" t="n">
        <v>7</v>
      </c>
      <c r="E5" s="5" t="n">
        <v>8</v>
      </c>
      <c r="F5" s="7">
        <f>E5/B5</f>
        <v/>
      </c>
      <c r="G5" s="21" t="inlineStr">
        <is>
          <t>IDTA Compliant</t>
        </is>
      </c>
    </row>
    <row r="6" ht="20" customHeight="1">
      <c r="A6" s="15" t="inlineStr">
        <is>
          <t>Average</t>
        </is>
      </c>
      <c r="B6" s="16" t="n"/>
      <c r="C6" s="16" t="n"/>
      <c r="D6" s="16" t="n"/>
      <c r="E6" s="16" t="n"/>
      <c r="F6" s="36">
        <f>AVERAGE(F3:F5)</f>
        <v/>
      </c>
      <c r="G6" s="16" t="n"/>
    </row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6" customHeight="1">
      <c r="A1" s="1" t="inlineStr">
        <is>
          <t>AAS Auto-Generation Pipeline — Evaluation Summary</t>
        </is>
      </c>
    </row>
    <row r="2" ht="22" customHeight="1"/>
    <row r="3" ht="20" customHeight="1">
      <c r="A3" s="37" t="inlineStr">
        <is>
          <t>Key Performance Indicators</t>
        </is>
      </c>
    </row>
    <row r="4" ht="20" customHeight="1">
      <c r="A4" s="2" t="inlineStr">
        <is>
          <t>Metric</t>
        </is>
      </c>
      <c r="B4" s="2" t="inlineStr">
        <is>
          <t>OMY-Pro</t>
        </is>
      </c>
      <c r="C4" s="2" t="inlineStr">
        <is>
          <t>ROBOTIS Hand</t>
        </is>
      </c>
      <c r="D4" s="2" t="inlineStr">
        <is>
          <t>OMX</t>
        </is>
      </c>
      <c r="E4" s="2" t="inlineStr">
        <is>
          <t>Average</t>
        </is>
      </c>
      <c r="F4" s="2" t="inlineStr">
        <is>
          <t>Target</t>
        </is>
      </c>
      <c r="G4" s="2" t="inlineStr">
        <is>
          <t>Status</t>
        </is>
      </c>
    </row>
    <row r="5" ht="20" customHeight="1">
      <c r="A5" s="3" t="inlineStr">
        <is>
          <t>Property Name F1 Score</t>
        </is>
      </c>
      <c r="B5" s="6">
        <f>'Property Extraction'!J3</f>
        <v/>
      </c>
      <c r="C5" s="6">
        <f>'Property Extraction'!J4</f>
        <v/>
      </c>
      <c r="D5" s="6">
        <f>'Property Extraction'!J5</f>
        <v/>
      </c>
      <c r="E5" s="6">
        <f>'Property Extraction'!J6</f>
        <v/>
      </c>
      <c r="F5" s="6" t="n">
        <v>0.8</v>
      </c>
      <c r="G5" s="21">
        <f>IF(E5&gt;=F5,"Met","Below")</f>
        <v/>
      </c>
      <c r="H5" s="38" t="n"/>
    </row>
    <row r="6" ht="20" customHeight="1">
      <c r="A6" s="9" t="inlineStr">
        <is>
          <t>Value Accuracy</t>
        </is>
      </c>
      <c r="B6" s="13">
        <f>'Property Extraction'!L3</f>
        <v/>
      </c>
      <c r="C6" s="13">
        <f>'Property Extraction'!L4</f>
        <v/>
      </c>
      <c r="D6" s="13">
        <f>'Property Extraction'!L5</f>
        <v/>
      </c>
      <c r="E6" s="13">
        <f>'Property Extraction'!L6</f>
        <v/>
      </c>
      <c r="F6" s="13" t="n">
        <v>0.7</v>
      </c>
      <c r="G6" s="39">
        <f>IF(E6&gt;=F6,"Met","Below")</f>
        <v/>
      </c>
      <c r="H6" s="40" t="n"/>
    </row>
    <row r="7" ht="20" customHeight="1">
      <c r="A7" s="3" t="inlineStr">
        <is>
          <t>Submodel Classification Accuracy</t>
        </is>
      </c>
      <c r="B7" s="7">
        <f>'Submodel Classification'!F3</f>
        <v/>
      </c>
      <c r="C7" s="7">
        <f>'Submodel Classification'!F4</f>
        <v/>
      </c>
      <c r="D7" s="7">
        <f>'Submodel Classification'!F5</f>
        <v/>
      </c>
      <c r="E7" s="7">
        <f>'Submodel Classification'!F6</f>
        <v/>
      </c>
      <c r="F7" s="7" t="n">
        <v>1</v>
      </c>
      <c r="G7" s="21">
        <f>IF(E7&gt;=F7,"Met","Below")</f>
        <v/>
      </c>
      <c r="H7" s="38" t="n"/>
    </row>
    <row r="8" ht="20" customHeight="1">
      <c r="A8" s="9" t="inlineStr">
        <is>
          <t>Total Processing Time (min)</t>
        </is>
      </c>
      <c r="B8" s="41" t="n">
        <v>1.9</v>
      </c>
      <c r="C8" s="41" t="n">
        <v>0.8</v>
      </c>
      <c r="D8" s="41" t="n">
        <v>2.1</v>
      </c>
      <c r="E8" s="41">
        <f>AVERAGE(B8:D8)</f>
        <v/>
      </c>
      <c r="F8" s="42" t="inlineStr">
        <is>
          <t>--</t>
        </is>
      </c>
      <c r="G8" s="39" t="inlineStr">
        <is>
          <t>--</t>
        </is>
      </c>
      <c r="H8" s="40" t="n"/>
    </row>
    <row r="9" ht="20" customHeight="1">
      <c r="A9" s="3" t="inlineStr">
        <is>
          <t>Manual Baseline (min)</t>
        </is>
      </c>
      <c r="B9" s="43" t="n">
        <v>35</v>
      </c>
      <c r="C9" s="43" t="n">
        <v>35</v>
      </c>
      <c r="D9" s="43" t="n">
        <v>35</v>
      </c>
      <c r="E9" s="43" t="n">
        <v>35</v>
      </c>
      <c r="F9" s="44" t="inlineStr">
        <is>
          <t>--</t>
        </is>
      </c>
      <c r="G9" s="45" t="inlineStr">
        <is>
          <t>Baseline</t>
        </is>
      </c>
      <c r="H9" s="38" t="n"/>
    </row>
    <row r="10" ht="20" customHeight="1">
      <c r="A10" s="9" t="inlineStr">
        <is>
          <t>Time Reduction</t>
        </is>
      </c>
      <c r="B10" s="13">
        <f>1-B8/B9</f>
        <v/>
      </c>
      <c r="C10" s="13">
        <f>1-C8/C9</f>
        <v/>
      </c>
      <c r="D10" s="13">
        <f>1-D8/D9</f>
        <v/>
      </c>
      <c r="E10" s="13">
        <f>AVERAGE(B10:D10)</f>
        <v/>
      </c>
      <c r="F10" s="13" t="n">
        <v>0.9</v>
      </c>
      <c r="G10" s="22">
        <f>IF(E10&gt;=F10,"Met","Below")</f>
        <v/>
      </c>
      <c r="H10" s="40" t="n"/>
    </row>
    <row r="11" ht="20" customHeight="1"/>
    <row r="12" ht="20" customHeight="1">
      <c r="A12" s="37" t="inlineStr">
        <is>
          <t>Key Findings</t>
        </is>
      </c>
    </row>
    <row r="13" ht="20" customHeight="1">
      <c r="A13" s="46" t="inlineStr">
        <is>
          <t>1. F1 Score (Name): avg. 0.930 across 3 devices — exceeds 0.80 target. Property identification robust across device types.</t>
        </is>
      </c>
    </row>
    <row r="14" ht="20" customHeight="1">
      <c r="A14" s="46" t="inlineStr">
        <is>
          <t>2. Submodel Classification: 100% accuracy — all properties placed in correct IDTA-standard submodel (DigitalNameplate / TechnicalData).</t>
        </is>
      </c>
    </row>
    <row r="15" ht="20" customHeight="1">
      <c r="A15" s="46" t="inlineStr">
        <is>
          <t>3. Processing Time: 94.6% reduction vs. manual expert (avg. 1.9 min vs. 35 min end-to-end per device).</t>
        </is>
      </c>
    </row>
    <row r="16" ht="20" customHeight="1">
      <c r="A16" s="46" t="inlineStr">
        <is>
          <t>4. Value Accuracy: strongly correlated with input quality — PDF input yields ~89%, noisy screenshot ~37%.</t>
        </is>
      </c>
    </row>
    <row r="17" ht="20" customHeight="1">
      <c r="A17" s="46" t="inlineStr">
        <is>
          <t>5. Generalizability: same pipeline, unmodified, processed 3 structurally different robots (6-DOF arm, gripper, 5-DOF arm).</t>
        </is>
      </c>
    </row>
    <row r="18" ht="20" customHeight="1">
      <c r="A18" s="46" t="inlineStr">
        <is>
          <t>6. Limitation: OCR quality is the primary source of value extraction errors; structured PDF input significantly outperforms screenshots.</t>
        </is>
      </c>
    </row>
    <row r="19" ht="20" customHeight="1"/>
  </sheetData>
  <mergeCells count="9">
    <mergeCell ref="A12:H12"/>
    <mergeCell ref="A18:H18"/>
    <mergeCell ref="A3:H3"/>
    <mergeCell ref="A15:H15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2026-05-10T15:48:23Z</dcterms:created>
  <dcterms:modified xsi:type="dcterms:W3CDTF">2026-05-10T15:48:23Z</dcterms:modified>
</cp:coreProperties>
</file>