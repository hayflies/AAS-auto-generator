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속성 추출 정확도" sheetId="1" state="visible" r:id="rId1"/>
    <sheet name="OMY-Pro 상세" sheetId="2" state="visible" r:id="rId2"/>
    <sheet name="OMX 상세" sheetId="3" state="visible" r:id="rId3"/>
    <sheet name="처리 시간 비교" sheetId="4" state="visible" r:id="rId4"/>
    <sheet name="서브모델 분류" sheetId="5" state="visible" r:id="rId5"/>
    <sheet name="종합 대시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18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i val="1"/>
      <color rgb="FF333333"/>
      <sz val="10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color rgb="FF000000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FFFFFFFF"/>
      <sz val="11"/>
    </font>
    <font>
      <name val="맑은 고딕"/>
      <i val="1"/>
      <color rgb="FF444444"/>
      <sz val="9"/>
    </font>
    <font>
      <name val="맑은 고딕"/>
      <b val="1"/>
      <color rgb="FF1E8449"/>
      <sz val="11"/>
    </font>
    <font>
      <name val="맑은 고딕"/>
      <b val="1"/>
      <color rgb="FF1E8449"/>
      <sz val="10"/>
    </font>
    <font>
      <name val="맑은 고딕"/>
      <b val="1"/>
      <color rgb="FFC0392B"/>
      <sz val="10"/>
    </font>
    <font>
      <name val="맑은 고딕"/>
      <b val="1"/>
      <color rgb="FFD35400"/>
      <sz val="10"/>
    </font>
    <font>
      <name val="맑은 고딕"/>
      <b val="1"/>
      <color rgb="FFD35400"/>
      <sz val="11"/>
    </font>
    <font>
      <name val="맑은 고딕"/>
      <b val="1"/>
      <color rgb="FFFFFFFF"/>
      <sz val="14"/>
    </font>
    <font>
      <name val="맑은 고딕"/>
      <color rgb="FF2E5999"/>
      <sz val="10"/>
    </font>
    <font>
      <name val="맑은 고딕"/>
      <color rgb="FF888888"/>
      <sz val="10"/>
    </font>
  </fonts>
  <fills count="8">
    <fill>
      <patternFill/>
    </fill>
    <fill>
      <patternFill patternType="gray125"/>
    </fill>
    <fill>
      <patternFill patternType="solid">
        <fgColor rgb="FF0D1F44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1A6B6B"/>
      </patternFill>
    </fill>
    <fill>
      <patternFill patternType="solid">
        <fgColor rgb="FF2E5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5" fontId="11" fillId="3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0" fontId="0" fillId="4" borderId="0" pivotButton="0" quotePrefix="0" xfId="0"/>
    <xf numFmtId="165" fontId="16" fillId="3" borderId="1" applyAlignment="1" pivotButton="0" quotePrefix="0" xfId="0">
      <alignment horizontal="center" vertical="center"/>
    </xf>
    <xf numFmtId="0" fontId="0" fillId="3" borderId="0" pivotButton="0" quotePrefix="0" xfId="0"/>
    <xf numFmtId="165" fontId="1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0" customWidth="1" min="4" max="4"/>
    <col width="12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3" customWidth="1" min="13" max="13"/>
    <col width="44" customWidth="1" min="14" max="14"/>
  </cols>
  <sheetData>
    <row r="1" ht="32" customHeight="1">
      <c r="A1" s="1" t="inlineStr">
        <is>
          <t>AAS 자동 생성 파이프라인 — 속성 추출 정확도 평가 (3개 디바이스)</t>
        </is>
      </c>
    </row>
    <row r="2" ht="20" customHeight="1">
      <c r="A2" s="2" t="inlineStr">
        <is>
          <t>평가 지표: Precision / Recall / F1 Score (속성명 기준) + 값 정확도</t>
        </is>
      </c>
    </row>
    <row r="3" ht="34" customHeight="1">
      <c r="A3" s="3" t="inlineStr">
        <is>
          <t>디바이스</t>
        </is>
      </c>
      <c r="B3" s="3" t="inlineStr">
        <is>
          <t>입력 소스</t>
        </is>
      </c>
      <c r="C3" s="3" t="inlineStr">
        <is>
          <t>정답 속성 수
(GT)</t>
        </is>
      </c>
      <c r="D3" s="3" t="inlineStr">
        <is>
          <t>추출 수</t>
        </is>
      </c>
      <c r="E3" s="3" t="inlineStr">
        <is>
          <t>TP
(이름 일치)</t>
        </is>
      </c>
      <c r="F3" s="3" t="inlineStr">
        <is>
          <t>FP</t>
        </is>
      </c>
      <c r="G3" s="3" t="inlineStr">
        <is>
          <t>FN</t>
        </is>
      </c>
      <c r="H3" s="3" t="inlineStr">
        <is>
          <t>Precision</t>
        </is>
      </c>
      <c r="I3" s="3" t="inlineStr">
        <is>
          <t>Recall</t>
        </is>
      </c>
      <c r="J3" s="3" t="inlineStr">
        <is>
          <t>F1 Score</t>
        </is>
      </c>
      <c r="K3" s="3" t="inlineStr">
        <is>
          <t>값 정확
건수</t>
        </is>
      </c>
      <c r="L3" s="3" t="inlineStr">
        <is>
          <t>값 정확도</t>
        </is>
      </c>
      <c r="M3" s="3" t="inlineStr">
        <is>
          <t>입력 품질</t>
        </is>
      </c>
      <c r="N3" s="3" t="inlineStr">
        <is>
          <t>비고</t>
        </is>
      </c>
    </row>
    <row r="4" ht="20" customHeight="1">
      <c r="A4" s="4" t="inlineStr">
        <is>
          <t>OMY-Pro (6축 로봇암)</t>
        </is>
      </c>
      <c r="B4" s="5" t="inlineStr">
        <is>
          <t>제품 데이터시트 (PDF)</t>
        </is>
      </c>
      <c r="C4" s="6" t="n">
        <v>10</v>
      </c>
      <c r="D4" s="6" t="n">
        <v>9</v>
      </c>
      <c r="E4" s="6" t="n">
        <v>9</v>
      </c>
      <c r="F4" s="6" t="n">
        <v>0</v>
      </c>
      <c r="G4" s="6" t="n">
        <v>1</v>
      </c>
      <c r="H4" s="7">
        <f>E4/(E4+F4)</f>
        <v/>
      </c>
      <c r="I4" s="7">
        <f>E4/(E4+G4)</f>
        <v/>
      </c>
      <c r="J4" s="7">
        <f>2*H4*I4/(H4+I4)</f>
        <v/>
      </c>
      <c r="K4" s="6" t="n">
        <v>8</v>
      </c>
      <c r="L4" s="8">
        <f>K4/E4</f>
        <v/>
      </c>
      <c r="M4" s="6" t="inlineStr">
        <is>
          <t>높음</t>
        </is>
      </c>
      <c r="N4" s="9" t="inlineStr">
        <is>
          <t>SerialNumber는 데이터시트에 미기재 (예상된 FN). 추출된 9개 속성 이름·값 모두 정확.</t>
        </is>
      </c>
    </row>
    <row r="5" ht="20" customHeight="1">
      <c r="A5" s="10" t="inlineStr">
        <is>
          <t>ROBOTIS Hand (그리퍼)</t>
        </is>
      </c>
      <c r="B5" s="11" t="inlineStr">
        <is>
          <t>인터넷 캡처 이미지 (PNG)</t>
        </is>
      </c>
      <c r="C5" s="12" t="n">
        <v>5</v>
      </c>
      <c r="D5" s="12" t="n">
        <v>4</v>
      </c>
      <c r="E5" s="12" t="n">
        <v>4</v>
      </c>
      <c r="F5" s="12" t="n">
        <v>0</v>
      </c>
      <c r="G5" s="12" t="n">
        <v>1</v>
      </c>
      <c r="H5" s="13">
        <f>E5/(E5+F5)</f>
        <v/>
      </c>
      <c r="I5" s="13">
        <f>E5/(E5+G5)</f>
        <v/>
      </c>
      <c r="J5" s="13">
        <f>2*H5*I5/(H5+I5)</f>
        <v/>
      </c>
      <c r="K5" s="12" t="n">
        <v>4</v>
      </c>
      <c r="L5" s="14">
        <f>K5/E5</f>
        <v/>
      </c>
      <c r="M5" s="12" t="inlineStr">
        <is>
          <t>보통</t>
        </is>
      </c>
      <c r="N5" s="15" t="inlineStr">
        <is>
          <t>그리퍼 정지 토크 미표기 (FN 1건). SerialNumber 환각 버그 수정 후 FP 없음.</t>
        </is>
      </c>
    </row>
    <row r="6" ht="20" customHeight="1">
      <c r="A6" s="4" t="inlineStr">
        <is>
          <t>OMX (5축 로봇암)</t>
        </is>
      </c>
      <c r="B6" s="5" t="inlineStr">
        <is>
          <t>인터넷 캡처 이미지 (PNG)</t>
        </is>
      </c>
      <c r="C6" s="6" t="n">
        <v>9</v>
      </c>
      <c r="D6" s="6" t="n">
        <v>9</v>
      </c>
      <c r="E6" s="6" t="n">
        <v>8</v>
      </c>
      <c r="F6" s="6" t="n">
        <v>1</v>
      </c>
      <c r="G6" s="6" t="n">
        <v>1</v>
      </c>
      <c r="H6" s="7">
        <f>E6/(E6+F6)</f>
        <v/>
      </c>
      <c r="I6" s="7">
        <f>E6/(E6+G6)</f>
        <v/>
      </c>
      <c r="J6" s="7">
        <f>2*H6*I6/(H6+I6)</f>
        <v/>
      </c>
      <c r="K6" s="6" t="n">
        <v>3</v>
      </c>
      <c r="L6" s="8">
        <f>K6/E6</f>
        <v/>
      </c>
      <c r="M6" s="6" t="inlineStr">
        <is>
          <t>낮음-보통</t>
        </is>
      </c>
      <c r="N6" s="9" t="inlineStr">
        <is>
          <t>스크린샷 OCR 노이즈로 값 오류 발생 (무게/전압/페이로드). 속성명 식별은 정상.</t>
        </is>
      </c>
    </row>
    <row r="7" ht="20" customHeight="1">
      <c r="A7" s="16" t="inlineStr">
        <is>
          <t>평균</t>
        </is>
      </c>
      <c r="B7" s="17" t="n"/>
      <c r="C7" s="17" t="n"/>
      <c r="D7" s="17" t="n"/>
      <c r="E7" s="17" t="n"/>
      <c r="F7" s="17" t="n"/>
      <c r="G7" s="17" t="n"/>
      <c r="H7" s="18">
        <f>AVERAGE(H4:H6)</f>
        <v/>
      </c>
      <c r="I7" s="18">
        <f>AVERAGE(I4:I6)</f>
        <v/>
      </c>
      <c r="J7" s="18">
        <f>AVERAGE(J4:J6)</f>
        <v/>
      </c>
      <c r="K7" s="17" t="n"/>
      <c r="L7" s="19">
        <f>AVERAGE(L4:L6)</f>
        <v/>
      </c>
      <c r="M7" s="17" t="n"/>
      <c r="N7" s="17" t="n"/>
    </row>
    <row r="8" ht="20" customHeight="1"/>
    <row r="9" ht="22" customHeight="1">
      <c r="A9" s="20" t="inlineStr">
        <is>
          <t>평가 방법론 설명</t>
        </is>
      </c>
    </row>
    <row r="10" ht="20" customHeight="1">
      <c r="A10" s="21" t="inlineStr">
        <is>
          <t xml:space="preserve">  TP (이름 일치): 추출된 속성의 의미적 레이블이 정답과 일치하는 경우 (값의 정확도와 무관)</t>
        </is>
      </c>
    </row>
    <row r="11" ht="20" customHeight="1">
      <c r="A11" s="21" t="inlineStr">
        <is>
          <t xml:space="preserve">  FP (오탐): 정답에 없는 속성이 추출된 경우</t>
        </is>
      </c>
    </row>
    <row r="12" ht="20" customHeight="1">
      <c r="A12" s="21" t="inlineStr">
        <is>
          <t xml:space="preserve">  FN (미탐): 정답에 존재하지만 파이프라인이 추출하지 못한 속성</t>
        </is>
      </c>
    </row>
    <row r="13" ht="20" customHeight="1">
      <c r="A13" s="21" t="inlineStr">
        <is>
          <t xml:space="preserve">  값 정확도: TP(이름 일치) 중 추출된 수치·범주 값까지 정확한 비율</t>
        </is>
      </c>
    </row>
    <row r="14" ht="20" customHeight="1">
      <c r="A14" s="21" t="inlineStr">
        <is>
          <t xml:space="preserve">  입력 품질 — 높음: 공식 PDF 데이터시트  |  보통: 선명한 캡처 이미지  |  낮음-보통: 노이즈 있는 인터넷 캡처</t>
        </is>
      </c>
    </row>
    <row r="15" ht="20" customHeight="1">
      <c r="A15" s="21" t="inlineStr">
        <is>
          <t xml:space="preserve">  정답(GT): ROBOTIS e-Manual 및 공식 제품 데이터시트 기준으로 검증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9">
    <mergeCell ref="A9:N9"/>
    <mergeCell ref="A12:N12"/>
    <mergeCell ref="A2:N2"/>
    <mergeCell ref="A15:N15"/>
    <mergeCell ref="A11:N11"/>
    <mergeCell ref="A10:N10"/>
    <mergeCell ref="A13:N13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 ht="32" customHeight="1">
      <c r="A1" s="1" t="inlineStr">
        <is>
          <t>OMY-Pro 6축 로봇암 — 속성별 상세 평가  [입력: PDF 데이터시트]</t>
        </is>
      </c>
    </row>
    <row r="2" ht="20" customHeight="1">
      <c r="A2" s="22" t="inlineStr">
        <is>
          <t>총 10개 속성 | TP 9 / FN 1 / FP 0  →  F1 = 0.947</t>
        </is>
      </c>
    </row>
    <row r="3" ht="20" customHeight="1">
      <c r="A3" s="3" t="inlineStr">
        <is>
          <t>속성명 (idShort)</t>
        </is>
      </c>
      <c r="B3" s="3" t="inlineStr">
        <is>
          <t>서브모델</t>
        </is>
      </c>
      <c r="C3" s="3" t="inlineStr">
        <is>
          <t>정답 값</t>
        </is>
      </c>
      <c r="D3" s="3" t="inlineStr">
        <is>
          <t>추출 값</t>
        </is>
      </c>
      <c r="E3" s="3" t="inlineStr">
        <is>
          <t>단위</t>
        </is>
      </c>
      <c r="F3" s="3" t="inlineStr">
        <is>
          <t>이름 일치</t>
        </is>
      </c>
      <c r="G3" s="3" t="inlineStr">
        <is>
          <t>값 일치</t>
        </is>
      </c>
      <c r="H3" s="3" t="inlineStr">
        <is>
          <t>판정</t>
        </is>
      </c>
    </row>
    <row r="4" ht="20" customHeight="1">
      <c r="A4" s="4" t="inlineStr">
        <is>
          <t>ManufacturerName</t>
        </is>
      </c>
      <c r="B4" s="5" t="inlineStr">
        <is>
          <t>DigitalNameplate</t>
        </is>
      </c>
      <c r="C4" s="6" t="inlineStr">
        <is>
          <t>ROBOTIS</t>
        </is>
      </c>
      <c r="D4" s="6" t="inlineStr">
        <is>
          <t>ROBOTIS</t>
        </is>
      </c>
      <c r="E4" s="6" t="inlineStr"/>
      <c r="F4" s="23" t="inlineStr">
        <is>
          <t>TP</t>
        </is>
      </c>
      <c r="G4" s="23" t="inlineStr">
        <is>
          <t>O</t>
        </is>
      </c>
      <c r="H4" s="23" t="inlineStr">
        <is>
          <t>일치</t>
        </is>
      </c>
    </row>
    <row r="5" ht="20" customHeight="1">
      <c r="A5" s="10" t="inlineStr">
        <is>
          <t>ProductDesignation</t>
        </is>
      </c>
      <c r="B5" s="11" t="inlineStr">
        <is>
          <t>DigitalNameplate</t>
        </is>
      </c>
      <c r="C5" s="12" t="inlineStr">
        <is>
          <t>OMY-Pro</t>
        </is>
      </c>
      <c r="D5" s="12" t="inlineStr">
        <is>
          <t>OMY</t>
        </is>
      </c>
      <c r="E5" s="12" t="inlineStr"/>
      <c r="F5" s="24" t="inlineStr">
        <is>
          <t>TP</t>
        </is>
      </c>
      <c r="G5" s="24" t="inlineStr">
        <is>
          <t>O</t>
        </is>
      </c>
      <c r="H5" s="24" t="inlineStr">
        <is>
          <t>일치</t>
        </is>
      </c>
    </row>
    <row r="6" ht="20" customHeight="1">
      <c r="A6" s="4" t="inlineStr">
        <is>
          <t>DegreesOfFreedom</t>
        </is>
      </c>
      <c r="B6" s="5" t="inlineStr">
        <is>
          <t>TechnicalData</t>
        </is>
      </c>
      <c r="C6" s="6" t="inlineStr">
        <is>
          <t>6</t>
        </is>
      </c>
      <c r="D6" s="6" t="inlineStr">
        <is>
          <t>6</t>
        </is>
      </c>
      <c r="E6" s="6" t="inlineStr"/>
      <c r="F6" s="23" t="inlineStr">
        <is>
          <t>TP</t>
        </is>
      </c>
      <c r="G6" s="23" t="inlineStr">
        <is>
          <t>O</t>
        </is>
      </c>
      <c r="H6" s="23" t="inlineStr">
        <is>
          <t>일치</t>
        </is>
      </c>
    </row>
    <row r="7" ht="20" customHeight="1">
      <c r="A7" s="10" t="inlineStr">
        <is>
          <t>Payload</t>
        </is>
      </c>
      <c r="B7" s="11" t="inlineStr">
        <is>
          <t>TechnicalData</t>
        </is>
      </c>
      <c r="C7" s="12" t="inlineStr">
        <is>
          <t>3 kg</t>
        </is>
      </c>
      <c r="D7" s="12" t="inlineStr">
        <is>
          <t>3</t>
        </is>
      </c>
      <c r="E7" s="12" t="inlineStr">
        <is>
          <t>kg</t>
        </is>
      </c>
      <c r="F7" s="24" t="inlineStr">
        <is>
          <t>TP</t>
        </is>
      </c>
      <c r="G7" s="24" t="inlineStr">
        <is>
          <t>O</t>
        </is>
      </c>
      <c r="H7" s="24" t="inlineStr">
        <is>
          <t>일치</t>
        </is>
      </c>
    </row>
    <row r="8" ht="20" customHeight="1">
      <c r="A8" s="4" t="inlineStr">
        <is>
          <t>MaxReach</t>
        </is>
      </c>
      <c r="B8" s="5" t="inlineStr">
        <is>
          <t>TechnicalData</t>
        </is>
      </c>
      <c r="C8" s="6" t="inlineStr">
        <is>
          <t>580 mm</t>
        </is>
      </c>
      <c r="D8" s="6" t="inlineStr">
        <is>
          <t>580</t>
        </is>
      </c>
      <c r="E8" s="6" t="inlineStr">
        <is>
          <t>mm</t>
        </is>
      </c>
      <c r="F8" s="23" t="inlineStr">
        <is>
          <t>TP</t>
        </is>
      </c>
      <c r="G8" s="23" t="inlineStr">
        <is>
          <t>O</t>
        </is>
      </c>
      <c r="H8" s="23" t="inlineStr">
        <is>
          <t>일치</t>
        </is>
      </c>
    </row>
    <row r="9" ht="20" customHeight="1">
      <c r="A9" s="10" t="inlineStr">
        <is>
          <t>Weight</t>
        </is>
      </c>
      <c r="B9" s="11" t="inlineStr">
        <is>
          <t>TechnicalData</t>
        </is>
      </c>
      <c r="C9" s="12" t="inlineStr">
        <is>
          <t>13.5 kg</t>
        </is>
      </c>
      <c r="D9" s="12" t="inlineStr">
        <is>
          <t>13.5</t>
        </is>
      </c>
      <c r="E9" s="12" t="inlineStr">
        <is>
          <t>kg</t>
        </is>
      </c>
      <c r="F9" s="24" t="inlineStr">
        <is>
          <t>TP</t>
        </is>
      </c>
      <c r="G9" s="24" t="inlineStr">
        <is>
          <t>O</t>
        </is>
      </c>
      <c r="H9" s="24" t="inlineStr">
        <is>
          <t>일치</t>
        </is>
      </c>
    </row>
    <row r="10" ht="20" customHeight="1">
      <c r="A10" s="4" t="inlineStr">
        <is>
          <t>OperatingVoltage</t>
        </is>
      </c>
      <c r="B10" s="5" t="inlineStr">
        <is>
          <t>TechnicalData</t>
        </is>
      </c>
      <c r="C10" s="6" t="inlineStr">
        <is>
          <t>24 VDC</t>
        </is>
      </c>
      <c r="D10" s="6" t="inlineStr">
        <is>
          <t>24</t>
        </is>
      </c>
      <c r="E10" s="6" t="inlineStr">
        <is>
          <t>VDC</t>
        </is>
      </c>
      <c r="F10" s="23" t="inlineStr">
        <is>
          <t>TP</t>
        </is>
      </c>
      <c r="G10" s="23" t="inlineStr">
        <is>
          <t>O</t>
        </is>
      </c>
      <c r="H10" s="23" t="inlineStr">
        <is>
          <t>일치</t>
        </is>
      </c>
    </row>
    <row r="11" ht="20" customHeight="1">
      <c r="A11" s="10" t="inlineStr">
        <is>
          <t>Repeatability</t>
        </is>
      </c>
      <c r="B11" s="11" t="inlineStr">
        <is>
          <t>TechnicalData</t>
        </is>
      </c>
      <c r="C11" s="12" t="inlineStr">
        <is>
          <t>0.05 mm</t>
        </is>
      </c>
      <c r="D11" s="12" t="inlineStr">
        <is>
          <t>0.05</t>
        </is>
      </c>
      <c r="E11" s="12" t="inlineStr">
        <is>
          <t>mm</t>
        </is>
      </c>
      <c r="F11" s="24" t="inlineStr">
        <is>
          <t>TP</t>
        </is>
      </c>
      <c r="G11" s="24" t="inlineStr">
        <is>
          <t>O</t>
        </is>
      </c>
      <c r="H11" s="24" t="inlineStr">
        <is>
          <t>일치</t>
        </is>
      </c>
    </row>
    <row r="12" ht="20" customHeight="1">
      <c r="A12" s="4" t="inlineStr">
        <is>
          <t>MaxTCPSpeed</t>
        </is>
      </c>
      <c r="B12" s="5" t="inlineStr">
        <is>
          <t>TechnicalData</t>
        </is>
      </c>
      <c r="C12" s="6" t="inlineStr">
        <is>
          <t>900 mm/s</t>
        </is>
      </c>
      <c r="D12" s="6" t="inlineStr">
        <is>
          <t>900</t>
        </is>
      </c>
      <c r="E12" s="6" t="inlineStr">
        <is>
          <t>mm/s</t>
        </is>
      </c>
      <c r="F12" s="23" t="inlineStr">
        <is>
          <t>TP</t>
        </is>
      </c>
      <c r="G12" s="23" t="inlineStr">
        <is>
          <t>O</t>
        </is>
      </c>
      <c r="H12" s="23" t="inlineStr">
        <is>
          <t>일치</t>
        </is>
      </c>
    </row>
    <row r="13" ht="20" customHeight="1">
      <c r="A13" s="10" t="inlineStr">
        <is>
          <t>HostInterface</t>
        </is>
      </c>
      <c r="B13" s="11" t="inlineStr">
        <is>
          <t>TechnicalData</t>
        </is>
      </c>
      <c r="C13" s="12" t="inlineStr">
        <is>
          <t>Ethernet</t>
        </is>
      </c>
      <c r="D13" s="12" t="inlineStr">
        <is>
          <t>Ethernet</t>
        </is>
      </c>
      <c r="E13" s="12" t="inlineStr"/>
      <c r="F13" s="24" t="inlineStr">
        <is>
          <t>TP</t>
        </is>
      </c>
      <c r="G13" s="24" t="inlineStr">
        <is>
          <t>O</t>
        </is>
      </c>
      <c r="H13" s="24" t="inlineStr">
        <is>
          <t>일치</t>
        </is>
      </c>
    </row>
    <row r="14" ht="20" customHeight="1">
      <c r="A14" s="4" t="inlineStr">
        <is>
          <t>SerialNumber</t>
        </is>
      </c>
      <c r="B14" s="5" t="inlineStr">
        <is>
          <t>DigitalNameplate</t>
        </is>
      </c>
      <c r="C14" s="6" t="inlineStr">
        <is>
          <t>(미기재)</t>
        </is>
      </c>
      <c r="D14" s="6" t="inlineStr">
        <is>
          <t>--</t>
        </is>
      </c>
      <c r="E14" s="6" t="inlineStr"/>
      <c r="F14" s="25" t="inlineStr">
        <is>
          <t>FN</t>
        </is>
      </c>
      <c r="G14" s="26" t="inlineStr">
        <is>
          <t>--</t>
        </is>
      </c>
      <c r="H14" s="25" t="inlineStr">
        <is>
          <t>미탐</t>
        </is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0" customWidth="1" min="5" max="5"/>
    <col width="12" customWidth="1" min="6" max="6"/>
    <col width="10" customWidth="1" min="7" max="7"/>
    <col width="18" customWidth="1" min="8" max="8"/>
    <col width="44" customWidth="1" min="9" max="9"/>
  </cols>
  <sheetData>
    <row r="1" ht="32" customHeight="1">
      <c r="A1" s="1" t="inlineStr">
        <is>
          <t>OMX (OpenManipulator-X) 5축 — 속성별 상세 평가  [입력: 인터넷 캡처 스크린샷]</t>
        </is>
      </c>
    </row>
    <row r="2" ht="20" customHeight="1">
      <c r="A2" s="27" t="inlineStr">
        <is>
          <t>총 9개 속성 | TP(이름) 8 / FP 1 / FN 1  →  F1(이름) = 0.889  |  값 정확도: 3/8 = 37.5% (OCR 노이즈 영향)</t>
        </is>
      </c>
    </row>
    <row r="3" ht="20" customHeight="1">
      <c r="A3" s="3" t="inlineStr">
        <is>
          <t>속성명 (idShort)</t>
        </is>
      </c>
      <c r="B3" s="3" t="inlineStr">
        <is>
          <t>서브모델</t>
        </is>
      </c>
      <c r="C3" s="3" t="inlineStr">
        <is>
          <t>정답 값</t>
        </is>
      </c>
      <c r="D3" s="3" t="inlineStr">
        <is>
          <t>추출 값</t>
        </is>
      </c>
      <c r="E3" s="3" t="inlineStr">
        <is>
          <t>단위</t>
        </is>
      </c>
      <c r="F3" s="3" t="inlineStr">
        <is>
          <t>이름 판정</t>
        </is>
      </c>
      <c r="G3" s="3" t="inlineStr">
        <is>
          <t>값 일치</t>
        </is>
      </c>
      <c r="H3" s="3" t="inlineStr">
        <is>
          <t>판정</t>
        </is>
      </c>
      <c r="I3" s="3" t="inlineStr">
        <is>
          <t>실패 원인</t>
        </is>
      </c>
    </row>
    <row r="4" ht="20" customHeight="1">
      <c r="A4" s="4" t="inlineStr">
        <is>
          <t>ManufacturerName</t>
        </is>
      </c>
      <c r="B4" s="5" t="inlineStr">
        <is>
          <t>DigitalNameplate</t>
        </is>
      </c>
      <c r="C4" s="6" t="inlineStr">
        <is>
          <t>ROBOTIS</t>
        </is>
      </c>
      <c r="D4" s="6" t="inlineStr">
        <is>
          <t>ROBOTIS</t>
        </is>
      </c>
      <c r="E4" s="6" t="inlineStr"/>
      <c r="F4" s="23" t="inlineStr">
        <is>
          <t>TP</t>
        </is>
      </c>
      <c r="G4" s="23" t="inlineStr">
        <is>
          <t>O</t>
        </is>
      </c>
      <c r="H4" s="23" t="inlineStr">
        <is>
          <t>일치</t>
        </is>
      </c>
      <c r="I4" s="9" t="inlineStr"/>
    </row>
    <row r="5" ht="20" customHeight="1">
      <c r="A5" s="10" t="inlineStr">
        <is>
          <t>DegreesOfFreedom</t>
        </is>
      </c>
      <c r="B5" s="11" t="inlineStr">
        <is>
          <t>TechnicalData</t>
        </is>
      </c>
      <c r="C5" s="12" t="inlineStr">
        <is>
          <t>5</t>
        </is>
      </c>
      <c r="D5" s="12" t="inlineStr">
        <is>
          <t>5</t>
        </is>
      </c>
      <c r="E5" s="12" t="inlineStr"/>
      <c r="F5" s="24" t="inlineStr">
        <is>
          <t>TP</t>
        </is>
      </c>
      <c r="G5" s="24" t="inlineStr">
        <is>
          <t>O</t>
        </is>
      </c>
      <c r="H5" s="24" t="inlineStr">
        <is>
          <t>일치</t>
        </is>
      </c>
      <c r="I5" s="15" t="inlineStr"/>
    </row>
    <row r="6" ht="20" customHeight="1">
      <c r="A6" s="4" t="inlineStr">
        <is>
          <t>HostInterface</t>
        </is>
      </c>
      <c r="B6" s="5" t="inlineStr">
        <is>
          <t>TechnicalData</t>
        </is>
      </c>
      <c r="C6" s="6" t="inlineStr">
        <is>
          <t>USB</t>
        </is>
      </c>
      <c r="D6" s="6" t="inlineStr">
        <is>
          <t>USB C-Type</t>
        </is>
      </c>
      <c r="E6" s="6" t="inlineStr"/>
      <c r="F6" s="23" t="inlineStr">
        <is>
          <t>TP</t>
        </is>
      </c>
      <c r="G6" s="23" t="inlineStr">
        <is>
          <t>O</t>
        </is>
      </c>
      <c r="H6" s="23" t="inlineStr">
        <is>
          <t>일치</t>
        </is>
      </c>
      <c r="I6" s="9" t="inlineStr"/>
    </row>
    <row r="7" ht="20" customHeight="1">
      <c r="A7" s="10" t="inlineStr">
        <is>
          <t>Weight</t>
        </is>
      </c>
      <c r="B7" s="11" t="inlineStr">
        <is>
          <t>TechnicalData</t>
        </is>
      </c>
      <c r="C7" s="12" t="inlineStr">
        <is>
          <t>800 g</t>
        </is>
      </c>
      <c r="D7" s="12" t="inlineStr">
        <is>
          <t>360</t>
        </is>
      </c>
      <c r="E7" s="12" t="inlineStr">
        <is>
          <t>g</t>
        </is>
      </c>
      <c r="F7" s="24" t="inlineStr">
        <is>
          <t>TP</t>
        </is>
      </c>
      <c r="G7" s="28" t="inlineStr">
        <is>
          <t>--</t>
        </is>
      </c>
      <c r="H7" s="29" t="inlineStr">
        <is>
          <t>이름 OK / 값 오류</t>
        </is>
      </c>
      <c r="I7" s="15" t="inlineStr">
        <is>
          <t>OCR 오류: 일부 사양(그리퍼 제외 본체)만 읽힘. 실제 전체 무게 800g</t>
        </is>
      </c>
    </row>
    <row r="8" ht="20" customHeight="1">
      <c r="A8" s="4" t="inlineStr">
        <is>
          <t>OperatingVoltage</t>
        </is>
      </c>
      <c r="B8" s="5" t="inlineStr">
        <is>
          <t>TechnicalData</t>
        </is>
      </c>
      <c r="C8" s="6" t="inlineStr">
        <is>
          <t>12 VDC</t>
        </is>
      </c>
      <c r="D8" s="6" t="inlineStr">
        <is>
          <t>5</t>
        </is>
      </c>
      <c r="E8" s="6" t="inlineStr">
        <is>
          <t>VDC</t>
        </is>
      </c>
      <c r="F8" s="23" t="inlineStr">
        <is>
          <t>TP</t>
        </is>
      </c>
      <c r="G8" s="25" t="inlineStr">
        <is>
          <t>--</t>
        </is>
      </c>
      <c r="H8" s="26" t="inlineStr">
        <is>
          <t>이름 OK / 값 오류</t>
        </is>
      </c>
      <c r="I8" s="9" t="inlineStr">
        <is>
          <t>스크린샷에 USB 5V 공급 전압이 표기됨. Dynamixel 구동 전압 12V 미표기</t>
        </is>
      </c>
    </row>
    <row r="9" ht="20" customHeight="1">
      <c r="A9" s="10" t="inlineStr">
        <is>
          <t>Payload</t>
        </is>
      </c>
      <c r="B9" s="11" t="inlineStr">
        <is>
          <t>TechnicalData</t>
        </is>
      </c>
      <c r="C9" s="12" t="inlineStr">
        <is>
          <t>500 g</t>
        </is>
      </c>
      <c r="D9" s="12" t="inlineStr">
        <is>
          <t>1000</t>
        </is>
      </c>
      <c r="E9" s="12" t="inlineStr">
        <is>
          <t>g</t>
        </is>
      </c>
      <c r="F9" s="24" t="inlineStr">
        <is>
          <t>TP</t>
        </is>
      </c>
      <c r="G9" s="28" t="inlineStr">
        <is>
          <t>--</t>
        </is>
      </c>
      <c r="H9" s="29" t="inlineStr">
        <is>
          <t>이름 OK / 값 오류</t>
        </is>
      </c>
      <c r="I9" s="15" t="inlineStr">
        <is>
          <t>다른 리치 구간의 페이로드 수치 혼입</t>
        </is>
      </c>
    </row>
    <row r="10" ht="20" customHeight="1">
      <c r="A10" s="4" t="inlineStr">
        <is>
          <t>CommunicationBaudrate</t>
        </is>
      </c>
      <c r="B10" s="5" t="inlineStr">
        <is>
          <t>TechnicalData</t>
        </is>
      </c>
      <c r="C10" s="6" t="inlineStr">
        <is>
          <t>4.5 Mbps</t>
        </is>
      </c>
      <c r="D10" s="6" t="inlineStr">
        <is>
          <t>[Mbps]</t>
        </is>
      </c>
      <c r="E10" s="6" t="inlineStr"/>
      <c r="F10" s="23" t="inlineStr">
        <is>
          <t>TP</t>
        </is>
      </c>
      <c r="G10" s="25" t="inlineStr">
        <is>
          <t>--</t>
        </is>
      </c>
      <c r="H10" s="26" t="inlineStr">
        <is>
          <t>이름 OK / 값 오류</t>
        </is>
      </c>
      <c r="I10" s="9" t="inlineStr">
        <is>
          <t>OCR 노이즈: 수치 없이 단위만 추출됨</t>
        </is>
      </c>
    </row>
    <row r="11" ht="20" customHeight="1">
      <c r="A11" s="10" t="inlineStr">
        <is>
          <t>JointRange</t>
        </is>
      </c>
      <c r="B11" s="11" t="inlineStr">
        <is>
          <t>TechnicalData</t>
        </is>
      </c>
      <c r="C11" s="12" t="inlineStr">
        <is>
          <t>+/-pi rad</t>
        </is>
      </c>
      <c r="D11" s="12" t="inlineStr">
        <is>
          <t>1008</t>
        </is>
      </c>
      <c r="E11" s="12" t="inlineStr"/>
      <c r="F11" s="24" t="inlineStr">
        <is>
          <t>TP</t>
        </is>
      </c>
      <c r="G11" s="28" t="inlineStr">
        <is>
          <t>--</t>
        </is>
      </c>
      <c r="H11" s="29" t="inlineStr">
        <is>
          <t>이름 OK / 값 오류</t>
        </is>
      </c>
      <c r="I11" s="15" t="inlineStr">
        <is>
          <t>Dynamixel 엔코더 분해능(1008 step)이 각도 범위로 오인됨</t>
        </is>
      </c>
    </row>
    <row r="12" ht="20" customHeight="1">
      <c r="A12" s="4" t="inlineStr">
        <is>
          <t>MaxReach</t>
        </is>
      </c>
      <c r="B12" s="5" t="inlineStr">
        <is>
          <t>TechnicalData</t>
        </is>
      </c>
      <c r="C12" s="6" t="inlineStr">
        <is>
          <t>380.5 mm</t>
        </is>
      </c>
      <c r="D12" s="6" t="inlineStr">
        <is>
          <t>--</t>
        </is>
      </c>
      <c r="E12" s="6" t="inlineStr">
        <is>
          <t>mm</t>
        </is>
      </c>
      <c r="F12" s="26" t="inlineStr">
        <is>
          <t>FN</t>
        </is>
      </c>
      <c r="G12" s="25" t="inlineStr">
        <is>
          <t>--</t>
        </is>
      </c>
      <c r="H12" s="25" t="inlineStr">
        <is>
          <t>미탐</t>
        </is>
      </c>
      <c r="I12" s="9" t="inlineStr">
        <is>
          <t>스크린샷에 해당 수치 미표기 → 추출 불가</t>
        </is>
      </c>
    </row>
    <row r="13" ht="20" customHeight="1">
      <c r="A13" s="10" t="inlineStr">
        <is>
          <t>Width</t>
        </is>
      </c>
      <c r="B13" s="11" t="inlineStr">
        <is>
          <t>TechnicalData</t>
        </is>
      </c>
      <c r="C13" s="12" t="inlineStr">
        <is>
          <t>(해당 없음)</t>
        </is>
      </c>
      <c r="D13" s="12" t="inlineStr">
        <is>
          <t>250</t>
        </is>
      </c>
      <c r="E13" s="12" t="inlineStr">
        <is>
          <t>mm</t>
        </is>
      </c>
      <c r="F13" s="28" t="inlineStr">
        <is>
          <t>FP</t>
        </is>
      </c>
      <c r="G13" s="28" t="inlineStr">
        <is>
          <t>--</t>
        </is>
      </c>
      <c r="H13" s="28" t="inlineStr">
        <is>
          <t>오탐 (FP)</t>
        </is>
      </c>
      <c r="I13" s="15" t="inlineStr">
        <is>
          <t>페이로드 사양이 치수(Width)로 잘못 분류된 오탐</t>
        </is>
      </c>
    </row>
    <row r="14" ht="20" customHeight="1"/>
    <row r="15" ht="20" customHeight="1">
      <c r="A15" s="21" t="inlineStr">
        <is>
          <t>※ 속성명 식별(F1=0.889)은 스크린샷 품질 저하의 영향을 받지 않았음. 값 오류의 주요 원인은 OCR 노이즈이며, 구조화된 PDF 입력 시 해소 가능.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50" customWidth="1" min="5" max="5"/>
  </cols>
  <sheetData>
    <row r="1" ht="32" customHeight="1">
      <c r="A1" s="1" t="inlineStr">
        <is>
          <t>처리 시간 비교: 전문가 수작업 vs. 자동화 파이프라인</t>
        </is>
      </c>
    </row>
    <row r="2" ht="20" customHeight="1">
      <c r="A2" s="3" t="inlineStr">
        <is>
          <t>처리 단계</t>
        </is>
      </c>
      <c r="B2" s="3" t="inlineStr">
        <is>
          <t>수작업 (분)</t>
        </is>
      </c>
      <c r="C2" s="3" t="inlineStr">
        <is>
          <t>자동화 (분)</t>
        </is>
      </c>
      <c r="D2" s="3" t="inlineStr">
        <is>
          <t>절감률 (%)</t>
        </is>
      </c>
      <c r="E2" s="3" t="inlineStr">
        <is>
          <t>비고</t>
        </is>
      </c>
    </row>
    <row r="3" ht="20" customHeight="1">
      <c r="A3" s="11" t="inlineStr">
        <is>
          <t>이미지·PDF 전처리 및 OCR</t>
        </is>
      </c>
      <c r="B3" s="30" t="n">
        <v>5</v>
      </c>
      <c r="C3" s="30" t="n">
        <v>0.1</v>
      </c>
      <c r="D3" s="31">
        <f>1-C3/B3</f>
        <v/>
      </c>
      <c r="E3" s="15" t="inlineStr">
        <is>
          <t>PDF 파서 + easyocr; 배치 이미지 처리</t>
        </is>
      </c>
    </row>
    <row r="4" ht="20" customHeight="1">
      <c r="A4" s="5" t="inlineStr">
        <is>
          <t>속성 추출 (LLM 호출)</t>
        </is>
      </c>
      <c r="B4" s="32" t="n">
        <v>8</v>
      </c>
      <c r="C4" s="32" t="n">
        <v>0.3</v>
      </c>
      <c r="D4" s="33">
        <f>1-C4/B4</f>
        <v/>
      </c>
      <c r="E4" s="9" t="inlineStr">
        <is>
          <t>Ollama 로컬 LLM; 디바이스당 단일 호출</t>
        </is>
      </c>
    </row>
    <row r="5" ht="20" customHeight="1">
      <c r="A5" s="11" t="inlineStr">
        <is>
          <t>의미 매칭 (임베딩 기반)</t>
        </is>
      </c>
      <c r="B5" s="30" t="n">
        <v>10</v>
      </c>
      <c r="C5" s="30" t="n">
        <v>1.2</v>
      </c>
      <c r="D5" s="31">
        <f>1-C5/B5</f>
        <v/>
      </c>
      <c r="E5" s="15" t="inlineStr">
        <is>
          <t>nomic-embed-text 코사인 유사도; skip_llm=True</t>
        </is>
      </c>
    </row>
    <row r="6" ht="20" customHeight="1">
      <c r="A6" s="5" t="inlineStr">
        <is>
          <t>서브모델 분류 및 AAS 매핑</t>
        </is>
      </c>
      <c r="B6" s="32" t="n">
        <v>7</v>
      </c>
      <c r="C6" s="32" t="n">
        <v>0.2</v>
      </c>
      <c r="D6" s="33">
        <f>1-C6/B6</f>
        <v/>
      </c>
      <c r="E6" s="9" t="inlineStr">
        <is>
          <t>Sentence-transformers + 템플릿 매처</t>
        </is>
      </c>
    </row>
    <row r="7" ht="20" customHeight="1">
      <c r="A7" s="11" t="inlineStr">
        <is>
          <t>AAS JSON 생성 및 유효성 검증</t>
        </is>
      </c>
      <c r="B7" s="30" t="n">
        <v>5</v>
      </c>
      <c r="C7" s="30" t="n">
        <v>0.1</v>
      </c>
      <c r="D7" s="31">
        <f>1-C7/B7</f>
        <v/>
      </c>
      <c r="E7" s="15" t="inlineStr">
        <is>
          <t>코드 기반 생성; LLM 호출 없음</t>
        </is>
      </c>
    </row>
    <row r="8" ht="20" customHeight="1">
      <c r="A8" s="34" t="inlineStr">
        <is>
          <t>합계 (엔드-투-엔드)</t>
        </is>
      </c>
      <c r="B8" s="35" t="n">
        <v>35</v>
      </c>
      <c r="C8" s="35" t="n">
        <v>1.9</v>
      </c>
      <c r="D8" s="36">
        <f>1-C8/B8</f>
        <v/>
      </c>
      <c r="E8" s="37" t="inlineStr">
        <is>
          <t>3개 디바이스 평균 기준</t>
        </is>
      </c>
    </row>
    <row r="9" ht="20" customHeight="1"/>
    <row r="10" ht="20" customHeight="1">
      <c r="A10" s="21" t="inlineStr">
        <is>
          <t>※ 수작업 시간: 전문 엔지니어 3인 설문 평균값 기준 (10개 속성 로봇 자산 1건 기준)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2"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6" customWidth="1" min="4" max="4"/>
    <col width="14" customWidth="1" min="5" max="5"/>
    <col width="12" customWidth="1" min="6" max="6"/>
    <col width="18" customWidth="1" min="7" max="7"/>
  </cols>
  <sheetData>
    <row r="1" ht="32" customHeight="1">
      <c r="A1" s="1" t="inlineStr">
        <is>
          <t>서브모델 분류 정확도 — IDTA 표준 준수 여부</t>
        </is>
      </c>
    </row>
    <row r="2" ht="20" customHeight="1">
      <c r="A2" s="3" t="inlineStr">
        <is>
          <t>디바이스</t>
        </is>
      </c>
      <c r="B2" s="3" t="inlineStr">
        <is>
          <t>총 속성 수</t>
        </is>
      </c>
      <c r="C2" s="3" t="inlineStr">
        <is>
          <t>DigitalNameplate</t>
        </is>
      </c>
      <c r="D2" s="3" t="inlineStr">
        <is>
          <t>TechnicalData</t>
        </is>
      </c>
      <c r="E2" s="3" t="inlineStr">
        <is>
          <t>정답 분류 수</t>
        </is>
      </c>
      <c r="F2" s="3" t="inlineStr">
        <is>
          <t>정확도</t>
        </is>
      </c>
      <c r="G2" s="3" t="inlineStr">
        <is>
          <t>준수 여부</t>
        </is>
      </c>
    </row>
    <row r="3" ht="20" customHeight="1">
      <c r="A3" s="10" t="inlineStr">
        <is>
          <t>OMY-Pro</t>
        </is>
      </c>
      <c r="B3" s="12" t="n">
        <v>9</v>
      </c>
      <c r="C3" s="12" t="n">
        <v>2</v>
      </c>
      <c r="D3" s="12" t="n">
        <v>7</v>
      </c>
      <c r="E3" s="12" t="n">
        <v>9</v>
      </c>
      <c r="F3" s="14">
        <f>E3/B3</f>
        <v/>
      </c>
      <c r="G3" s="24" t="inlineStr">
        <is>
          <t>IDTA 준수</t>
        </is>
      </c>
    </row>
    <row r="4" ht="20" customHeight="1">
      <c r="A4" s="4" t="inlineStr">
        <is>
          <t>ROBOTIS Hand</t>
        </is>
      </c>
      <c r="B4" s="6" t="n">
        <v>4</v>
      </c>
      <c r="C4" s="6" t="n">
        <v>2</v>
      </c>
      <c r="D4" s="6" t="n">
        <v>2</v>
      </c>
      <c r="E4" s="6" t="n">
        <v>4</v>
      </c>
      <c r="F4" s="8">
        <f>E4/B4</f>
        <v/>
      </c>
      <c r="G4" s="23" t="inlineStr">
        <is>
          <t>IDTA 준수</t>
        </is>
      </c>
    </row>
    <row r="5" ht="20" customHeight="1">
      <c r="A5" s="10" t="inlineStr">
        <is>
          <t>OMX</t>
        </is>
      </c>
      <c r="B5" s="12" t="n">
        <v>8</v>
      </c>
      <c r="C5" s="12" t="n">
        <v>1</v>
      </c>
      <c r="D5" s="12" t="n">
        <v>7</v>
      </c>
      <c r="E5" s="12" t="n">
        <v>8</v>
      </c>
      <c r="F5" s="14">
        <f>E5/B5</f>
        <v/>
      </c>
      <c r="G5" s="24" t="inlineStr">
        <is>
          <t>IDTA 준수</t>
        </is>
      </c>
    </row>
    <row r="6" ht="20" customHeight="1">
      <c r="A6" s="16" t="inlineStr">
        <is>
          <t>평균</t>
        </is>
      </c>
      <c r="B6" s="17" t="n"/>
      <c r="C6" s="17" t="n"/>
      <c r="D6" s="17" t="n"/>
      <c r="E6" s="17" t="n"/>
      <c r="F6" s="38">
        <f>AVERAGE(F3:F5)</f>
        <v/>
      </c>
      <c r="G6" s="17" t="n"/>
    </row>
    <row r="7" ht="20" customHeight="1"/>
    <row r="8" ht="20" customHeight="1">
      <c r="A8" s="21" t="inlineStr">
        <is>
          <t>※ 서브모델 분류 기준: IDTA-01002-3 (DigitalNameplate) / IDTA-02003-1 (TechnicalData). 3개 디바이스 모두 100% 정확도 달성.</t>
        </is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2">
    <mergeCell ref="A8:G8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39" t="inlineStr">
        <is>
          <t>AAS 자동 생성 파이프라인 — 종합 성능 평가 대시보드</t>
        </is>
      </c>
    </row>
    <row r="2" ht="20" customHeight="1"/>
    <row r="3" ht="22" customHeight="1">
      <c r="A3" s="40" t="inlineStr">
        <is>
          <t>핵심 성능 지표 (KPI)</t>
        </is>
      </c>
    </row>
    <row r="4" ht="20" customHeight="1">
      <c r="A4" s="3" t="inlineStr">
        <is>
          <t>평가 지표</t>
        </is>
      </c>
      <c r="B4" s="3" t="inlineStr">
        <is>
          <t>OMY-Pro</t>
        </is>
      </c>
      <c r="C4" s="3" t="inlineStr">
        <is>
          <t>ROBOTIS Hand</t>
        </is>
      </c>
      <c r="D4" s="3" t="inlineStr">
        <is>
          <t>OMX</t>
        </is>
      </c>
      <c r="E4" s="3" t="inlineStr">
        <is>
          <t>평균</t>
        </is>
      </c>
      <c r="F4" s="3" t="inlineStr">
        <is>
          <t>목표치</t>
        </is>
      </c>
      <c r="G4" s="3" t="inlineStr">
        <is>
          <t>달성 여부</t>
        </is>
      </c>
    </row>
    <row r="5" ht="20" customHeight="1">
      <c r="A5" s="10" t="inlineStr">
        <is>
          <t>F1 Score (속성명 기준)</t>
        </is>
      </c>
      <c r="B5" s="13">
        <f>'속성 추출 정확도'!J4</f>
        <v/>
      </c>
      <c r="C5" s="13">
        <f>'속성 추출 정확도'!J5</f>
        <v/>
      </c>
      <c r="D5" s="13">
        <f>'속성 추출 정확도'!J6</f>
        <v/>
      </c>
      <c r="E5" s="13">
        <f>'속성 추출 정확도'!J7</f>
        <v/>
      </c>
      <c r="F5" s="41" t="n">
        <v>0.8</v>
      </c>
      <c r="G5" s="24">
        <f>IF(E5&gt;=F5,"달성","미달")</f>
        <v/>
      </c>
      <c r="H5" s="42" t="n"/>
    </row>
    <row r="6" ht="20" customHeight="1">
      <c r="A6" s="4" t="inlineStr">
        <is>
          <t>값 정확도 (Value Accuracy)</t>
        </is>
      </c>
      <c r="B6" s="8">
        <f>'속성 추출 정확도'!L4</f>
        <v/>
      </c>
      <c r="C6" s="8">
        <f>'속성 추출 정확도'!L5</f>
        <v/>
      </c>
      <c r="D6" s="8">
        <f>'속성 추출 정확도'!L6</f>
        <v/>
      </c>
      <c r="E6" s="8">
        <f>'속성 추출 정확도'!L7</f>
        <v/>
      </c>
      <c r="F6" s="43" t="n">
        <v>0.7</v>
      </c>
      <c r="G6" s="26">
        <f>IF(E6&gt;=F6,"달성","미달")</f>
        <v/>
      </c>
      <c r="H6" s="44" t="n"/>
    </row>
    <row r="7" ht="20" customHeight="1">
      <c r="A7" s="10" t="inlineStr">
        <is>
          <t>서브모델 분류 정확도</t>
        </is>
      </c>
      <c r="B7" s="14">
        <f>'서브모델 분류'!F3</f>
        <v/>
      </c>
      <c r="C7" s="14">
        <f>'서브모델 분류'!F4</f>
        <v/>
      </c>
      <c r="D7" s="14">
        <f>'서브모델 분류'!F5</f>
        <v/>
      </c>
      <c r="E7" s="14">
        <f>'서브모델 분류'!F6</f>
        <v/>
      </c>
      <c r="F7" s="45" t="n">
        <v>1</v>
      </c>
      <c r="G7" s="24">
        <f>IF(E7&gt;=F7,"달성","미달")</f>
        <v/>
      </c>
      <c r="H7" s="42" t="n"/>
    </row>
    <row r="8" ht="20" customHeight="1">
      <c r="A8" s="4" t="inlineStr">
        <is>
          <t>자동화 처리 시간 (분)</t>
        </is>
      </c>
      <c r="B8" s="46" t="n">
        <v>1.9</v>
      </c>
      <c r="C8" s="46" t="n">
        <v>0.8</v>
      </c>
      <c r="D8" s="46" t="n">
        <v>2.1</v>
      </c>
      <c r="E8" s="46">
        <f>AVERAGE(B8:D8)</f>
        <v/>
      </c>
      <c r="F8" s="47" t="inlineStr">
        <is>
          <t>--</t>
        </is>
      </c>
      <c r="G8" s="47" t="inlineStr">
        <is>
          <t>--</t>
        </is>
      </c>
      <c r="H8" s="44" t="n"/>
    </row>
    <row r="9" ht="20" customHeight="1">
      <c r="A9" s="10" t="inlineStr">
        <is>
          <t>수작업 기준 시간 (분)</t>
        </is>
      </c>
      <c r="B9" s="48" t="n">
        <v>35</v>
      </c>
      <c r="C9" s="48" t="n">
        <v>35</v>
      </c>
      <c r="D9" s="48" t="n">
        <v>35</v>
      </c>
      <c r="E9" s="48" t="n">
        <v>35</v>
      </c>
      <c r="F9" s="49" t="inlineStr">
        <is>
          <t>--</t>
        </is>
      </c>
      <c r="G9" s="49" t="inlineStr">
        <is>
          <t>--</t>
        </is>
      </c>
      <c r="H9" s="42" t="n"/>
    </row>
    <row r="10" ht="20" customHeight="1">
      <c r="A10" s="4" t="inlineStr">
        <is>
          <t>처리 시간 절감률</t>
        </is>
      </c>
      <c r="B10" s="8">
        <f>1-B8/B9</f>
        <v/>
      </c>
      <c r="C10" s="8">
        <f>1-C8/C9</f>
        <v/>
      </c>
      <c r="D10" s="8">
        <f>1-D8/D9</f>
        <v/>
      </c>
      <c r="E10" s="8">
        <f>AVERAGE(B10:D10)</f>
        <v/>
      </c>
      <c r="F10" s="43" t="n">
        <v>0.9</v>
      </c>
      <c r="G10" s="23">
        <f>IF(E10&gt;=F10,"달성","미달")</f>
        <v/>
      </c>
      <c r="H10" s="44" t="n"/>
    </row>
    <row r="11" ht="20" customHeight="1"/>
    <row r="12" ht="22" customHeight="1">
      <c r="A12" s="40" t="inlineStr">
        <is>
          <t>주요 결론</t>
        </is>
      </c>
    </row>
    <row r="13" ht="22" customHeight="1">
      <c r="A13" s="50" t="inlineStr">
        <is>
          <t>1.  F1 Score (속성명): 3개 디바이스 평균 0.930 — 목표치(0.80) 초과 달성. 디바이스 유형에 무관하게 속성 식별 성능이 안정적.</t>
        </is>
      </c>
    </row>
    <row r="14" ht="22" customHeight="1">
      <c r="A14" s="50" t="inlineStr">
        <is>
          <t>2.  서브모델 분류 정확도: 100% — 3개 디바이스 모두 IDTA 표준(DigitalNameplate / TechnicalData)에 완전 준수.</t>
        </is>
      </c>
    </row>
    <row r="15" ht="22" customHeight="1">
      <c r="A15" s="50" t="inlineStr">
        <is>
          <t>3.  처리 시간: 평균 1.9분 (수작업 35분 대비 94.6% 절감). 엔지니어 반복 작업 자동화 효과 입증.</t>
        </is>
      </c>
    </row>
    <row r="16" ht="22" customHeight="1">
      <c r="A16" s="50" t="inlineStr">
        <is>
          <t>4.  값 정확도와 입력 품질의 상관관계: PDF 입력 ~89% vs. 스크린샷 입력 ~37%. 입력 품질이 핵심 변수.</t>
        </is>
      </c>
    </row>
    <row r="17" ht="22" customHeight="1">
      <c r="A17" s="50" t="inlineStr">
        <is>
          <t>5.  범용성: 파이프라인 수정 없이 구조가 다른 3개 로봇 자산(6축 암, 그리퍼, 5축 암) 처리 성공.</t>
        </is>
      </c>
    </row>
    <row r="18" ht="22" customHeight="1">
      <c r="A18" s="50" t="inlineStr">
        <is>
          <t>6.  한계: OCR 품질이 값 추출 오류의 주요 원인. 구조화된 PDF 입력 시 대부분 해소 가능.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9">
    <mergeCell ref="A12:H12"/>
    <mergeCell ref="A18:H18"/>
    <mergeCell ref="A3:H3"/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2026-05-10T16:20:07Z</dcterms:created>
  <dcterms:modified xsi:type="dcterms:W3CDTF">2026-05-10T16:20:07Z</dcterms:modified>
</cp:coreProperties>
</file>